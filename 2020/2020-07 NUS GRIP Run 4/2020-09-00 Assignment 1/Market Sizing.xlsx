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64187cd8522d98/Education/04 NUS/NUS GRIP/GRIP Deliverables/Assignment 1/"/>
    </mc:Choice>
  </mc:AlternateContent>
  <xr:revisionPtr revIDLastSave="60" documentId="13_ncr:1_{2616D67C-D32F-9743-88B7-B786509D4950}" xr6:coauthVersionLast="45" xr6:coauthVersionMax="45" xr10:uidLastSave="{3BFB671A-FE0E-2A4F-8E31-D97DD1095495}"/>
  <bookViews>
    <workbookView xWindow="0" yWindow="460" windowWidth="25600" windowHeight="14500" activeTab="2" xr2:uid="{E869453D-8BC5-3845-A3B7-AB6C1C4F8BB5}"/>
  </bookViews>
  <sheets>
    <sheet name="SAM" sheetId="1" r:id="rId1"/>
    <sheet name="SOM" sheetId="2" r:id="rId2"/>
    <sheet name="S3 Diagra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2" i="3" l="1"/>
  <c r="F32" i="3" s="1"/>
  <c r="C31" i="3"/>
  <c r="F31" i="3"/>
  <c r="F30" i="3"/>
  <c r="B4" i="2" l="1"/>
  <c r="B15" i="3"/>
  <c r="B16" i="3" s="1"/>
  <c r="B17" i="3" s="1"/>
  <c r="B4" i="3"/>
  <c r="B5" i="3" s="1"/>
  <c r="B6" i="3" s="1"/>
  <c r="B7" i="3" s="1"/>
  <c r="B8" i="3" s="1"/>
  <c r="B9" i="3" s="1"/>
  <c r="B10" i="3" s="1"/>
  <c r="B11" i="3" s="1"/>
  <c r="B12" i="3" s="1"/>
  <c r="E8" i="1"/>
  <c r="B3" i="2"/>
  <c r="B15" i="2" s="1"/>
  <c r="B16" i="2" s="1"/>
  <c r="D2" i="1"/>
  <c r="D3" i="1"/>
  <c r="D4" i="1"/>
  <c r="D5" i="1"/>
  <c r="D6" i="1"/>
  <c r="D7" i="1"/>
  <c r="B8" i="1"/>
  <c r="C3" i="1" s="1"/>
  <c r="B5" i="2" l="1"/>
  <c r="B6" i="2" s="1"/>
  <c r="B11" i="2" s="1"/>
  <c r="B9" i="1"/>
  <c r="C7" i="1"/>
  <c r="C2" i="1"/>
  <c r="C6" i="1"/>
  <c r="C5" i="1"/>
  <c r="C4" i="1"/>
  <c r="C8" i="1" l="1"/>
</calcChain>
</file>

<file path=xl/sharedStrings.xml><?xml version="1.0" encoding="utf-8"?>
<sst xmlns="http://schemas.openxmlformats.org/spreadsheetml/2006/main" count="37" uniqueCount="35">
  <si>
    <t xml:space="preserve">Companies </t>
  </si>
  <si>
    <t xml:space="preserve">Honeywell </t>
  </si>
  <si>
    <t xml:space="preserve">Siemens </t>
  </si>
  <si>
    <t xml:space="preserve">Schneider Electric </t>
  </si>
  <si>
    <t xml:space="preserve">Johnson Controls </t>
  </si>
  <si>
    <t xml:space="preserve">Others* </t>
  </si>
  <si>
    <t xml:space="preserve">Total </t>
  </si>
  <si>
    <t>Ambient</t>
  </si>
  <si>
    <t>Percent (before)</t>
  </si>
  <si>
    <t>Percent (after)</t>
  </si>
  <si>
    <t>Revenue ($ Million) (2020)</t>
  </si>
  <si>
    <t>Revenue ($ Million) (2030)</t>
  </si>
  <si>
    <t>2030 Revenue Forecast (3% growth)</t>
  </si>
  <si>
    <t>Standard 20' Container</t>
  </si>
  <si>
    <t>Revenue per container ($)</t>
  </si>
  <si>
    <t>Revenue per m^2</t>
  </si>
  <si>
    <t>Assume 3% Compound Annual Revenue Growth
Assume we can become the market leader within ten years by distinguishing ourselves from the various unknown brands in the market (holding a quarter of the overall BAS market) (current market leader (Honeywell) holds around 18% of the market)</t>
  </si>
  <si>
    <t>Notes and Assumptions</t>
  </si>
  <si>
    <t>With 50% margin</t>
  </si>
  <si>
    <t>Year</t>
  </si>
  <si>
    <t>Revenue (Million)</t>
  </si>
  <si>
    <t>Assume 3% stable market growth after achieving SOM</t>
  </si>
  <si>
    <t>Notes:</t>
  </si>
  <si>
    <t>Annual revenue</t>
  </si>
  <si>
    <t>Square Meters</t>
  </si>
  <si>
    <t>Archisen</t>
  </si>
  <si>
    <t>Container Area (m^2)</t>
  </si>
  <si>
    <t>Kingdom Fungi</t>
  </si>
  <si>
    <t>Pinball</t>
  </si>
  <si>
    <t>Market</t>
  </si>
  <si>
    <t>SG Indoor Farms</t>
  </si>
  <si>
    <t>APAC C&amp;I</t>
  </si>
  <si>
    <t>Europe C&amp;I</t>
  </si>
  <si>
    <t>Size (M)</t>
  </si>
  <si>
    <t>Market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</si>
</sst>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44" fontId="0" fillId="0" borderId="0" xfId="1" applyFont="1" applyAlignment="1">
      <alignment horizontal="center" vertical="center"/>
    </xf>
    <xf numFmtId="0" fontId="0" fillId="0" borderId="1" xfId="0" applyFont="1" applyBorder="1" applyAlignment="1">
      <alignment horizontal="center"/>
    </xf>
    <xf numFmtId="44" fontId="0" fillId="0" borderId="1" xfId="1" applyFon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44" fontId="0" fillId="0" borderId="0" xfId="0" applyNumberFormat="1"/>
    <xf numFmtId="0" fontId="0" fillId="0" borderId="2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2" fillId="0" borderId="0" xfId="0" applyFont="1"/>
    <xf numFmtId="0" fontId="0" fillId="0" borderId="1" xfId="0" applyBorder="1"/>
    <xf numFmtId="44" fontId="0" fillId="0" borderId="1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53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762-4540-A1A3-68F48CEC0EFF}"/>
              </c:ext>
            </c:extLst>
          </c:dPt>
          <c:dPt>
            <c:idx val="1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762-4540-A1A3-68F48CEC0E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C762-4540-A1A3-68F48CEC0EFF}"/>
              </c:ext>
            </c:extLst>
          </c:dPt>
          <c:dPt>
            <c:idx val="3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762-4540-A1A3-68F48CEC0EFF}"/>
              </c:ext>
            </c:extLst>
          </c:dPt>
          <c:dPt>
            <c:idx val="4"/>
            <c:bubble3D val="0"/>
            <c:spPr>
              <a:solidFill>
                <a:schemeClr val="accent3">
                  <a:tint val="54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C762-4540-A1A3-68F48CEC0EF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spc="0" baseline="0">
                      <a:solidFill>
                        <a:schemeClr val="accent3">
                          <a:shade val="5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C762-4540-A1A3-68F48CEC0EF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spc="0" baseline="0">
                      <a:solidFill>
                        <a:schemeClr val="accent3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C762-4540-A1A3-68F48CEC0EF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C762-4540-A1A3-68F48CEC0EFF}"/>
                </c:ext>
              </c:extLst>
            </c:dLbl>
            <c:dLbl>
              <c:idx val="3"/>
              <c:layout>
                <c:manualLayout>
                  <c:x val="-0.13377926421404687"/>
                  <c:y val="-1.388888888888905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spc="0" baseline="0">
                      <a:solidFill>
                        <a:schemeClr val="accent3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762-4540-A1A3-68F48CEC0EF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spc="0" baseline="0">
                      <a:solidFill>
                        <a:schemeClr val="accent3">
                          <a:tint val="5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C762-4540-A1A3-68F48CEC0EF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SAM!$A$2:$A$6</c:f>
              <c:strCache>
                <c:ptCount val="5"/>
                <c:pt idx="0">
                  <c:v>Honeywell </c:v>
                </c:pt>
                <c:pt idx="1">
                  <c:v>Siemens </c:v>
                </c:pt>
                <c:pt idx="2">
                  <c:v>Schneider Electric </c:v>
                </c:pt>
                <c:pt idx="3">
                  <c:v>Johnson Controls </c:v>
                </c:pt>
                <c:pt idx="4">
                  <c:v>Others* </c:v>
                </c:pt>
              </c:strCache>
            </c:strRef>
          </c:cat>
          <c:val>
            <c:numRef>
              <c:f>SAM!$C$2:$C$6</c:f>
              <c:numCache>
                <c:formatCode>0.00%</c:formatCode>
                <c:ptCount val="5"/>
                <c:pt idx="0">
                  <c:v>0.18878811105433488</c:v>
                </c:pt>
                <c:pt idx="1">
                  <c:v>0.17320303185147334</c:v>
                </c:pt>
                <c:pt idx="2">
                  <c:v>9.3829841594276944E-2</c:v>
                </c:pt>
                <c:pt idx="3">
                  <c:v>0.13777465508431272</c:v>
                </c:pt>
                <c:pt idx="4">
                  <c:v>0.40640436041560207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2-4540-A1A3-68F48CEC0EF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57F-DC44-94BF-B1B2431F1670}"/>
              </c:ext>
            </c:extLst>
          </c:dPt>
          <c:dPt>
            <c:idx val="1"/>
            <c:bubble3D val="0"/>
            <c:spPr>
              <a:solidFill>
                <a:schemeClr val="accent3">
                  <a:shade val="7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57F-DC44-94BF-B1B2431F1670}"/>
              </c:ext>
            </c:extLst>
          </c:dPt>
          <c:dPt>
            <c:idx val="2"/>
            <c:bubble3D val="0"/>
            <c:spPr>
              <a:solidFill>
                <a:schemeClr val="accent3">
                  <a:shade val="9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557F-DC44-94BF-B1B2431F1670}"/>
              </c:ext>
            </c:extLst>
          </c:dPt>
          <c:dPt>
            <c:idx val="3"/>
            <c:bubble3D val="0"/>
            <c:spPr>
              <a:solidFill>
                <a:schemeClr val="accent3">
                  <a:tint val="9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57F-DC44-94BF-B1B2431F1670}"/>
              </c:ext>
            </c:extLst>
          </c:dPt>
          <c:dPt>
            <c:idx val="4"/>
            <c:bubble3D val="0"/>
            <c:spPr>
              <a:solidFill>
                <a:schemeClr val="accent3">
                  <a:tint val="7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557F-DC44-94BF-B1B2431F1670}"/>
              </c:ext>
            </c:extLst>
          </c:dPt>
          <c:dPt>
            <c:idx val="5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57F-DC44-94BF-B1B2431F167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spc="0" baseline="0">
                      <a:solidFill>
                        <a:schemeClr val="accent3">
                          <a:shade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557F-DC44-94BF-B1B2431F167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spc="0" baseline="0">
                      <a:solidFill>
                        <a:schemeClr val="accent3">
                          <a:shade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57F-DC44-94BF-B1B2431F167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spc="0" baseline="0">
                      <a:solidFill>
                        <a:schemeClr val="accent3">
                          <a:shade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557F-DC44-94BF-B1B2431F1670}"/>
                </c:ext>
              </c:extLst>
            </c:dLbl>
            <c:dLbl>
              <c:idx val="3"/>
              <c:layout>
                <c:manualLayout>
                  <c:x val="-4.3530429506134782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spc="0" baseline="0">
                      <a:solidFill>
                        <a:schemeClr val="accent3">
                          <a:tint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0209490053788882"/>
                      <c:h val="0.1309333985428656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557F-DC44-94BF-B1B2431F167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spc="0" baseline="0">
                      <a:solidFill>
                        <a:schemeClr val="accent3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557F-DC44-94BF-B1B2431F1670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0" i="0" u="none" strike="noStrike" kern="1200" spc="0" baseline="0">
                        <a:solidFill>
                          <a:schemeClr val="accent3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AF47434-F503-6C4C-9DDA-9523B8E9FD6A}" type="CATEGORYNAME">
                      <a:rPr lang="en-US" b="1">
                        <a:solidFill>
                          <a:schemeClr val="accent2">
                            <a:lumMod val="75000"/>
                          </a:schemeClr>
                        </a:solidFill>
                      </a:rPr>
                      <a:pPr>
                        <a:defRPr>
                          <a:solidFill>
                            <a:schemeClr val="accent3"/>
                          </a:solidFill>
                        </a:defRPr>
                      </a:pPr>
                      <a:t>[CATEGORY NAME]</a:t>
                    </a:fld>
                    <a:r>
                      <a:rPr lang="en-US"/>
                      <a:t>
</a:t>
                    </a:r>
                    <a:fld id="{220A5082-04C5-5C4C-BD95-DC97C7CD63EA}" type="PERCENTAGE">
                      <a:rPr lang="en-US" b="1">
                        <a:solidFill>
                          <a:schemeClr val="accent2">
                            <a:lumMod val="75000"/>
                          </a:schemeClr>
                        </a:solidFill>
                      </a:rPr>
                      <a:pPr>
                        <a:defRPr>
                          <a:solidFill>
                            <a:schemeClr val="accent3"/>
                          </a:solidFill>
                        </a:defRPr>
                      </a:pPr>
                      <a:t>[PERCENTAGE]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557F-DC44-94BF-B1B2431F1670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SAM!$A$2:$A$7</c:f>
              <c:strCache>
                <c:ptCount val="6"/>
                <c:pt idx="0">
                  <c:v>Honeywell </c:v>
                </c:pt>
                <c:pt idx="1">
                  <c:v>Siemens </c:v>
                </c:pt>
                <c:pt idx="2">
                  <c:v>Schneider Electric </c:v>
                </c:pt>
                <c:pt idx="3">
                  <c:v>Johnson Controls </c:v>
                </c:pt>
                <c:pt idx="4">
                  <c:v>Others* </c:v>
                </c:pt>
                <c:pt idx="5">
                  <c:v>Ambient</c:v>
                </c:pt>
              </c:strCache>
            </c:strRef>
          </c:cat>
          <c:val>
            <c:numRef>
              <c:f>SAM!$E$2:$E$7</c:f>
              <c:numCache>
                <c:formatCode>0.00%</c:formatCode>
                <c:ptCount val="6"/>
                <c:pt idx="0">
                  <c:v>0.17</c:v>
                </c:pt>
                <c:pt idx="1">
                  <c:v>0.16</c:v>
                </c:pt>
                <c:pt idx="2">
                  <c:v>0.09</c:v>
                </c:pt>
                <c:pt idx="3">
                  <c:v>0.13</c:v>
                </c:pt>
                <c:pt idx="4">
                  <c:v>0.2</c:v>
                </c:pt>
                <c:pt idx="5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F-DC44-94BF-B1B2431F1670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SAM!$B$1</c:f>
              <c:strCache>
                <c:ptCount val="1"/>
                <c:pt idx="0">
                  <c:v>Revenue ($ Million) (2020)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SAM!$A$2:$A$7</c:f>
              <c:strCache>
                <c:ptCount val="6"/>
                <c:pt idx="0">
                  <c:v>Honeywell </c:v>
                </c:pt>
                <c:pt idx="1">
                  <c:v>Siemens </c:v>
                </c:pt>
                <c:pt idx="2">
                  <c:v>Schneider Electric </c:v>
                </c:pt>
                <c:pt idx="3">
                  <c:v>Johnson Controls </c:v>
                </c:pt>
                <c:pt idx="4">
                  <c:v>Others* </c:v>
                </c:pt>
                <c:pt idx="5">
                  <c:v>Ambient</c:v>
                </c:pt>
              </c:strCache>
            </c:strRef>
          </c:cat>
          <c:val>
            <c:numRef>
              <c:f>SAM!$B$2:$B$7</c:f>
              <c:numCache>
                <c:formatCode>_("$"* #,##0.00_);_("$"* \(#,##0.00\);_("$"* "-"??_);_(@_)</c:formatCode>
                <c:ptCount val="6"/>
                <c:pt idx="0">
                  <c:v>886.7</c:v>
                </c:pt>
                <c:pt idx="1">
                  <c:v>813.5</c:v>
                </c:pt>
                <c:pt idx="2">
                  <c:v>440.7</c:v>
                </c:pt>
                <c:pt idx="3">
                  <c:v>647.1</c:v>
                </c:pt>
                <c:pt idx="4">
                  <c:v>1908.8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5-F848-B9A0-F13C7F42C711}"/>
            </c:ext>
          </c:extLst>
        </c:ser>
        <c:ser>
          <c:idx val="1"/>
          <c:order val="1"/>
          <c:tx>
            <c:strRef>
              <c:f>SAM!$D$1</c:f>
              <c:strCache>
                <c:ptCount val="1"/>
                <c:pt idx="0">
                  <c:v>Revenue ($ Million) (2030)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8C5-F848-B9A0-F13C7F42C711}"/>
              </c:ext>
            </c:extLst>
          </c:dPt>
          <c:cat>
            <c:strRef>
              <c:f>SAM!$A$2:$A$7</c:f>
              <c:strCache>
                <c:ptCount val="6"/>
                <c:pt idx="0">
                  <c:v>Honeywell </c:v>
                </c:pt>
                <c:pt idx="1">
                  <c:v>Siemens </c:v>
                </c:pt>
                <c:pt idx="2">
                  <c:v>Schneider Electric </c:v>
                </c:pt>
                <c:pt idx="3">
                  <c:v>Johnson Controls </c:v>
                </c:pt>
                <c:pt idx="4">
                  <c:v>Others* </c:v>
                </c:pt>
                <c:pt idx="5">
                  <c:v>Ambient</c:v>
                </c:pt>
              </c:strCache>
            </c:strRef>
          </c:cat>
          <c:val>
            <c:numRef>
              <c:f>SAM!$D$2:$D$7</c:f>
              <c:numCache>
                <c:formatCode>_("$"* #,##0.00_);_("$"* \(#,##0.00\);_("$"* "-"??_);_(@_)</c:formatCode>
                <c:ptCount val="6"/>
                <c:pt idx="0">
                  <c:v>1071</c:v>
                </c:pt>
                <c:pt idx="1">
                  <c:v>1008</c:v>
                </c:pt>
                <c:pt idx="2">
                  <c:v>567</c:v>
                </c:pt>
                <c:pt idx="3">
                  <c:v>819</c:v>
                </c:pt>
                <c:pt idx="4">
                  <c:v>1260</c:v>
                </c:pt>
                <c:pt idx="5">
                  <c:v>1575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C5-F848-B9A0-F13C7F42C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7523071"/>
        <c:axId val="1597571791"/>
      </c:barChart>
      <c:catAx>
        <c:axId val="159752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571791"/>
        <c:crosses val="autoZero"/>
        <c:auto val="1"/>
        <c:lblAlgn val="ctr"/>
        <c:lblOffset val="100"/>
        <c:noMultiLvlLbl val="0"/>
      </c:catAx>
      <c:valAx>
        <c:axId val="159757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52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'S3 Diagram'!$B$1</c:f>
              <c:strCache>
                <c:ptCount val="1"/>
                <c:pt idx="0">
                  <c:v>Revenue (Million)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'S3 Diagram'!$A$2:$A$17</c:f>
              <c:numCache>
                <c:formatCode>General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xVal>
          <c:yVal>
            <c:numRef>
              <c:f>'S3 Diagram'!$B$2:$B$17</c:f>
              <c:numCache>
                <c:formatCode>_("$"* #,##0_);_("$"* \(#,##0\);_("$"* "-"??_);_(@_)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  <c:pt idx="11">
                  <c:v>1570</c:v>
                </c:pt>
                <c:pt idx="12">
                  <c:v>1690</c:v>
                </c:pt>
                <c:pt idx="13">
                  <c:v>1740.7</c:v>
                </c:pt>
                <c:pt idx="14">
                  <c:v>1792.921</c:v>
                </c:pt>
                <c:pt idx="15">
                  <c:v>1846.7086300000001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04-9748-B179-271F841CF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915615"/>
        <c:axId val="1640917247"/>
      </c:scatterChart>
      <c:valAx>
        <c:axId val="1640915615"/>
        <c:scaling>
          <c:orientation val="minMax"/>
          <c:max val="2035"/>
          <c:min val="20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917247"/>
        <c:crosses val="autoZero"/>
        <c:crossBetween val="midCat"/>
      </c:valAx>
      <c:valAx>
        <c:axId val="164091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(million)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915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796290</xdr:colOff>
      <xdr:row>7</xdr:row>
      <xdr:rowOff>194310</xdr:rowOff>
    </xdr:from>
    <xdr:to>
      <xdr:col>13</xdr:col>
      <xdr:colOff>415290</xdr:colOff>
      <xdr:row>21</xdr:row>
      <xdr:rowOff>92710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9DE26F-639E-9C4C-9EDA-70A71BD5F6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784167</xdr:colOff>
      <xdr:row>22</xdr:row>
      <xdr:rowOff>150783</xdr:rowOff>
    </xdr:from>
    <xdr:to>
      <xdr:col>13</xdr:col>
      <xdr:colOff>368531</xdr:colOff>
      <xdr:row>35</xdr:row>
      <xdr:rowOff>187728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46A909-CA9F-D944-BC5F-12A0A1B7C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249381</xdr:colOff>
      <xdr:row>13</xdr:row>
      <xdr:rowOff>23553</xdr:rowOff>
    </xdr:from>
    <xdr:to>
      <xdr:col>7</xdr:col>
      <xdr:colOff>176875</xdr:colOff>
      <xdr:row>27</xdr:row>
      <xdr:rowOff>184034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8F1FEF-B4B7-3946-A52A-F5DEE47DAE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0</xdr:row>
      <xdr:rowOff>158750</xdr:rowOff>
    </xdr:from>
    <xdr:to>
      <xdr:col>10</xdr:col>
      <xdr:colOff>571500</xdr:colOff>
      <xdr:row>16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04BA4B-6B65-B444-981B-F37748AAAC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419AB-EF77-574F-8D67-38A7D3BD123C}">
  <dimension ref="A1:E40"/>
  <sheetViews>
    <sheetView zoomScaleNormal="110" workbookViewId="0">
      <selection activeCell="G31" sqref="G31"/>
    </sheetView>
  </sheetViews>
  <sheetFormatPr baseColWidth="10" defaultRowHeight="16" x14ac:dyDescent="0.2"/>
  <cols>
    <col min="1" max="1" width="31.33203125" bestFit="1" customWidth="1"/>
    <col min="2" max="2" width="23.33203125" bestFit="1" customWidth="1"/>
    <col min="3" max="3" width="14.5" bestFit="1" customWidth="1"/>
    <col min="4" max="4" width="23.33203125" bestFit="1" customWidth="1"/>
    <col min="5" max="5" width="13.1640625" bestFit="1" customWidth="1"/>
  </cols>
  <sheetData>
    <row r="1" spans="1:5" x14ac:dyDescent="0.2">
      <c r="A1" s="2" t="s">
        <v>0</v>
      </c>
      <c r="B1" s="2" t="s">
        <v>10</v>
      </c>
      <c r="C1" s="2" t="s">
        <v>8</v>
      </c>
      <c r="D1" s="2" t="s">
        <v>11</v>
      </c>
      <c r="E1" s="2" t="s">
        <v>9</v>
      </c>
    </row>
    <row r="2" spans="1:5" x14ac:dyDescent="0.2">
      <c r="A2" s="2" t="s">
        <v>1</v>
      </c>
      <c r="B2" s="3">
        <v>886.7</v>
      </c>
      <c r="C2" s="4">
        <f t="shared" ref="C2:C7" si="0">B2/$B$8</f>
        <v>0.18878811105433488</v>
      </c>
      <c r="D2" s="3">
        <f t="shared" ref="D2:D7" si="1">E2*$D$8</f>
        <v>1071</v>
      </c>
      <c r="E2" s="4">
        <v>0.17</v>
      </c>
    </row>
    <row r="3" spans="1:5" x14ac:dyDescent="0.2">
      <c r="A3" s="2" t="s">
        <v>2</v>
      </c>
      <c r="B3" s="3">
        <v>813.5</v>
      </c>
      <c r="C3" s="4">
        <f t="shared" si="0"/>
        <v>0.17320303185147334</v>
      </c>
      <c r="D3" s="3">
        <f t="shared" si="1"/>
        <v>1008</v>
      </c>
      <c r="E3" s="4">
        <v>0.16</v>
      </c>
    </row>
    <row r="4" spans="1:5" x14ac:dyDescent="0.2">
      <c r="A4" s="2" t="s">
        <v>3</v>
      </c>
      <c r="B4" s="3">
        <v>440.7</v>
      </c>
      <c r="C4" s="4">
        <f t="shared" si="0"/>
        <v>9.3829841594276944E-2</v>
      </c>
      <c r="D4" s="3">
        <f t="shared" si="1"/>
        <v>567</v>
      </c>
      <c r="E4" s="4">
        <v>0.09</v>
      </c>
    </row>
    <row r="5" spans="1:5" x14ac:dyDescent="0.2">
      <c r="A5" s="2" t="s">
        <v>4</v>
      </c>
      <c r="B5" s="3">
        <v>647.1</v>
      </c>
      <c r="C5" s="4">
        <f t="shared" si="0"/>
        <v>0.13777465508431272</v>
      </c>
      <c r="D5" s="3">
        <f t="shared" si="1"/>
        <v>819</v>
      </c>
      <c r="E5" s="4">
        <v>0.13</v>
      </c>
    </row>
    <row r="6" spans="1:5" x14ac:dyDescent="0.2">
      <c r="A6" s="2" t="s">
        <v>5</v>
      </c>
      <c r="B6" s="3">
        <v>1908.8</v>
      </c>
      <c r="C6" s="4">
        <f t="shared" si="0"/>
        <v>0.40640436041560207</v>
      </c>
      <c r="D6" s="3">
        <f t="shared" si="1"/>
        <v>1260</v>
      </c>
      <c r="E6" s="4">
        <v>0.2</v>
      </c>
    </row>
    <row r="7" spans="1:5" x14ac:dyDescent="0.2">
      <c r="A7" s="2" t="s">
        <v>7</v>
      </c>
      <c r="B7" s="3">
        <v>0</v>
      </c>
      <c r="C7" s="4">
        <f t="shared" si="0"/>
        <v>0</v>
      </c>
      <c r="D7" s="3">
        <f t="shared" si="1"/>
        <v>1575</v>
      </c>
      <c r="E7" s="4">
        <v>0.25</v>
      </c>
    </row>
    <row r="8" spans="1:5" x14ac:dyDescent="0.2">
      <c r="A8" s="2" t="s">
        <v>6</v>
      </c>
      <c r="B8" s="3">
        <f>SUM(B2:B6)</f>
        <v>4696.8</v>
      </c>
      <c r="C8" s="4">
        <f>SUM(C2:C6)</f>
        <v>1</v>
      </c>
      <c r="D8" s="3">
        <v>6300</v>
      </c>
      <c r="E8" s="4">
        <f>SUM(E2:E7)</f>
        <v>1</v>
      </c>
    </row>
    <row r="9" spans="1:5" x14ac:dyDescent="0.2">
      <c r="A9" s="6" t="s">
        <v>12</v>
      </c>
      <c r="B9" s="5">
        <f>B8*1.03^10</f>
        <v>6312.106450503471</v>
      </c>
    </row>
    <row r="39" spans="1:1" x14ac:dyDescent="0.2">
      <c r="A39" t="s">
        <v>17</v>
      </c>
    </row>
    <row r="40" spans="1:1" ht="170" x14ac:dyDescent="0.2">
      <c r="A40" s="10" t="s">
        <v>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42A27-F8EF-364A-A1EF-DAEDDF2D4024}">
  <dimension ref="A1:B16"/>
  <sheetViews>
    <sheetView workbookViewId="0">
      <selection activeCell="B21" sqref="B21"/>
    </sheetView>
  </sheetViews>
  <sheetFormatPr baseColWidth="10" defaultRowHeight="16" x14ac:dyDescent="0.2"/>
  <cols>
    <col min="1" max="1" width="26.33203125" bestFit="1" customWidth="1"/>
    <col min="2" max="2" width="14" bestFit="1" customWidth="1"/>
  </cols>
  <sheetData>
    <row r="1" spans="1:2" x14ac:dyDescent="0.2">
      <c r="A1" s="8" t="s">
        <v>13</v>
      </c>
    </row>
    <row r="3" spans="1:2" x14ac:dyDescent="0.2">
      <c r="A3" s="7" t="s">
        <v>26</v>
      </c>
      <c r="B3" s="9">
        <f>5.44*2.944</f>
        <v>16.015360000000001</v>
      </c>
    </row>
    <row r="4" spans="1:2" x14ac:dyDescent="0.2">
      <c r="A4" s="7" t="s">
        <v>14</v>
      </c>
      <c r="B4" s="1">
        <f>0.2*4000</f>
        <v>800</v>
      </c>
    </row>
    <row r="5" spans="1:2" x14ac:dyDescent="0.2">
      <c r="A5" s="7" t="s">
        <v>15</v>
      </c>
      <c r="B5" s="5">
        <f>B4/B3</f>
        <v>49.952046035805623</v>
      </c>
    </row>
    <row r="6" spans="1:2" x14ac:dyDescent="0.2">
      <c r="A6" s="7" t="s">
        <v>18</v>
      </c>
      <c r="B6" s="5">
        <f>B5*2</f>
        <v>99.904092071611245</v>
      </c>
    </row>
    <row r="10" spans="1:2" x14ac:dyDescent="0.2">
      <c r="A10" s="7" t="s">
        <v>23</v>
      </c>
      <c r="B10" s="1">
        <v>1000000</v>
      </c>
    </row>
    <row r="11" spans="1:2" x14ac:dyDescent="0.2">
      <c r="A11" s="7" t="s">
        <v>24</v>
      </c>
      <c r="B11" s="7">
        <f>B10/B6</f>
        <v>10009.6</v>
      </c>
    </row>
    <row r="14" spans="1:2" x14ac:dyDescent="0.2">
      <c r="A14" t="s">
        <v>25</v>
      </c>
      <c r="B14">
        <v>6503.2129999999997</v>
      </c>
    </row>
    <row r="15" spans="1:2" x14ac:dyDescent="0.2">
      <c r="A15" t="s">
        <v>27</v>
      </c>
      <c r="B15">
        <f>200*B3</f>
        <v>3203.0720000000001</v>
      </c>
    </row>
    <row r="16" spans="1:2" x14ac:dyDescent="0.2">
      <c r="B16">
        <f>SUM(B14:B15)</f>
        <v>9706.2849999999999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0551-0FB0-D645-AC5E-5BA585CD26D3}">
  <dimension ref="A1:F32"/>
  <sheetViews>
    <sheetView showGridLines="0" tabSelected="1" topLeftCell="A7" workbookViewId="0">
      <selection activeCell="B31" sqref="B31"/>
    </sheetView>
  </sheetViews>
  <sheetFormatPr baseColWidth="10" defaultRowHeight="16" x14ac:dyDescent="0.2"/>
  <cols>
    <col min="1" max="1" width="14.83203125" customWidth="1"/>
    <col min="2" max="2" width="15.6640625" bestFit="1" customWidth="1"/>
    <col min="4" max="4" width="12.1640625" bestFit="1" customWidth="1"/>
  </cols>
  <sheetData>
    <row r="1" spans="1:2" x14ac:dyDescent="0.2">
      <c r="A1" s="11" t="s">
        <v>19</v>
      </c>
      <c r="B1" s="11" t="s">
        <v>20</v>
      </c>
    </row>
    <row r="2" spans="1:2" x14ac:dyDescent="0.2">
      <c r="A2" s="11">
        <v>2020</v>
      </c>
      <c r="B2" s="12">
        <v>0</v>
      </c>
    </row>
    <row r="3" spans="1:2" x14ac:dyDescent="0.2">
      <c r="A3" s="11">
        <v>2021</v>
      </c>
      <c r="B3" s="12">
        <v>2</v>
      </c>
    </row>
    <row r="4" spans="1:2" x14ac:dyDescent="0.2">
      <c r="A4" s="11">
        <v>2022</v>
      </c>
      <c r="B4" s="12">
        <f>B3*2</f>
        <v>4</v>
      </c>
    </row>
    <row r="5" spans="1:2" x14ac:dyDescent="0.2">
      <c r="A5" s="11">
        <v>2023</v>
      </c>
      <c r="B5" s="12">
        <f t="shared" ref="B5:B12" si="0">B4*2</f>
        <v>8</v>
      </c>
    </row>
    <row r="6" spans="1:2" x14ac:dyDescent="0.2">
      <c r="A6" s="11">
        <v>2024</v>
      </c>
      <c r="B6" s="12">
        <f t="shared" si="0"/>
        <v>16</v>
      </c>
    </row>
    <row r="7" spans="1:2" x14ac:dyDescent="0.2">
      <c r="A7" s="11">
        <v>2025</v>
      </c>
      <c r="B7" s="12">
        <f t="shared" si="0"/>
        <v>32</v>
      </c>
    </row>
    <row r="8" spans="1:2" x14ac:dyDescent="0.2">
      <c r="A8" s="11">
        <v>2026</v>
      </c>
      <c r="B8" s="12">
        <f t="shared" si="0"/>
        <v>64</v>
      </c>
    </row>
    <row r="9" spans="1:2" x14ac:dyDescent="0.2">
      <c r="A9" s="11">
        <v>2027</v>
      </c>
      <c r="B9" s="12">
        <f t="shared" si="0"/>
        <v>128</v>
      </c>
    </row>
    <row r="10" spans="1:2" x14ac:dyDescent="0.2">
      <c r="A10" s="11">
        <v>2028</v>
      </c>
      <c r="B10" s="12">
        <f t="shared" si="0"/>
        <v>256</v>
      </c>
    </row>
    <row r="11" spans="1:2" x14ac:dyDescent="0.2">
      <c r="A11" s="11">
        <v>2029</v>
      </c>
      <c r="B11" s="12">
        <f t="shared" si="0"/>
        <v>512</v>
      </c>
    </row>
    <row r="12" spans="1:2" x14ac:dyDescent="0.2">
      <c r="A12" s="11">
        <v>2030</v>
      </c>
      <c r="B12" s="12">
        <f t="shared" si="0"/>
        <v>1024</v>
      </c>
    </row>
    <row r="13" spans="1:2" x14ac:dyDescent="0.2">
      <c r="A13" s="11">
        <v>2031</v>
      </c>
      <c r="B13" s="12">
        <v>1570</v>
      </c>
    </row>
    <row r="14" spans="1:2" x14ac:dyDescent="0.2">
      <c r="A14" s="11">
        <v>2032</v>
      </c>
      <c r="B14" s="12">
        <v>1690</v>
      </c>
    </row>
    <row r="15" spans="1:2" x14ac:dyDescent="0.2">
      <c r="A15" s="11">
        <v>2033</v>
      </c>
      <c r="B15" s="12">
        <f t="shared" ref="B15:B17" si="1">B14*1.03</f>
        <v>1740.7</v>
      </c>
    </row>
    <row r="16" spans="1:2" x14ac:dyDescent="0.2">
      <c r="A16" s="11">
        <v>2034</v>
      </c>
      <c r="B16" s="12">
        <f t="shared" si="1"/>
        <v>1792.921</v>
      </c>
    </row>
    <row r="17" spans="1:6" x14ac:dyDescent="0.2">
      <c r="A17" s="11">
        <v>2035</v>
      </c>
      <c r="B17" s="12">
        <f t="shared" si="1"/>
        <v>1846.7086300000001</v>
      </c>
    </row>
    <row r="22" spans="1:6" x14ac:dyDescent="0.2">
      <c r="A22" t="s">
        <v>22</v>
      </c>
    </row>
    <row r="23" spans="1:6" x14ac:dyDescent="0.2">
      <c r="A23" s="13" t="s">
        <v>21</v>
      </c>
    </row>
    <row r="28" spans="1:6" x14ac:dyDescent="0.2">
      <c r="A28" t="s">
        <v>28</v>
      </c>
    </row>
    <row r="29" spans="1:6" x14ac:dyDescent="0.2">
      <c r="A29" s="11" t="s">
        <v>29</v>
      </c>
      <c r="B29" s="11" t="s">
        <v>19</v>
      </c>
      <c r="C29" s="11" t="s">
        <v>33</v>
      </c>
      <c r="D29" s="11" t="s">
        <v>34</v>
      </c>
      <c r="E29" s="14"/>
      <c r="F29" s="11" t="s">
        <v>7</v>
      </c>
    </row>
    <row r="30" spans="1:6" x14ac:dyDescent="0.2">
      <c r="A30" s="11" t="s">
        <v>30</v>
      </c>
      <c r="B30" s="11">
        <v>2023</v>
      </c>
      <c r="C30" s="12">
        <v>10</v>
      </c>
      <c r="D30" s="11">
        <v>0.8</v>
      </c>
      <c r="E30" s="14"/>
      <c r="F30" s="16">
        <f>C30*D30</f>
        <v>8</v>
      </c>
    </row>
    <row r="31" spans="1:6" x14ac:dyDescent="0.2">
      <c r="A31" s="11" t="s">
        <v>31</v>
      </c>
      <c r="B31" s="11">
        <v>2025</v>
      </c>
      <c r="C31" s="15">
        <f>1560*0.5</f>
        <v>780</v>
      </c>
      <c r="D31" s="11">
        <v>0</v>
      </c>
      <c r="E31" s="14"/>
      <c r="F31" s="16">
        <f>C31*D31</f>
        <v>0</v>
      </c>
    </row>
    <row r="32" spans="1:6" x14ac:dyDescent="0.2">
      <c r="A32" s="11" t="s">
        <v>32</v>
      </c>
      <c r="B32" s="11">
        <v>2031</v>
      </c>
      <c r="C32" s="15">
        <f>2200*0.5</f>
        <v>1100</v>
      </c>
      <c r="D32" s="11"/>
      <c r="E32" s="14"/>
      <c r="F32" s="16">
        <f>C32*D32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</vt:lpstr>
      <vt:lpstr>SOM</vt:lpstr>
      <vt:lpstr>S3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2020-08-30T17:41:43Z</ns1:created>
  <ns1:modified xsi:type="dcterms:W3CDTF">2020-08-31T08:51:51Z</ns1:modified>
</ns0:coreProperties>
</file>