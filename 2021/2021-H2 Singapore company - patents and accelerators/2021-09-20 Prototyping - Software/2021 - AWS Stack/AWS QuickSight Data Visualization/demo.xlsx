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Ambient Systems/04 Engineering/05 ML Model/MVP v02 Demo Data/QS Data Visualization/"/>
    </mc:Choice>
  </mc:AlternateContent>
  <xr:revisionPtr revIDLastSave="0" documentId="13_ncr:1_{22C439A9-7C00-4146-B82A-625F72B70D1B}" xr6:coauthVersionLast="47" xr6:coauthVersionMax="47" xr10:uidLastSave="{00000000-0000-0000-0000-000000000000}"/>
  <bookViews>
    <workbookView xWindow="380" yWindow="500" windowWidth="28420" windowHeight="16040" xr2:uid="{00000000-000D-0000-FFFF-FFFF00000000}"/>
  </bookViews>
  <sheets>
    <sheet name="demo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3" i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S2" i="1"/>
  <c r="T2" i="1"/>
  <c r="U2" i="1"/>
  <c r="R2" i="1"/>
</calcChain>
</file>

<file path=xl/sharedStrings.xml><?xml version="1.0" encoding="utf-8"?>
<sst xmlns="http://schemas.openxmlformats.org/spreadsheetml/2006/main" count="21" uniqueCount="21">
  <si>
    <t>Date</t>
  </si>
  <si>
    <t>Time</t>
  </si>
  <si>
    <t>Sensor_Temp</t>
  </si>
  <si>
    <t>Sensor_RH</t>
  </si>
  <si>
    <t>Sensor_CO2</t>
  </si>
  <si>
    <t>Sensor_Lux</t>
  </si>
  <si>
    <t>Optimal_Temp</t>
  </si>
  <si>
    <t>Optimal_RH</t>
  </si>
  <si>
    <t>Optimal_CO2</t>
  </si>
  <si>
    <t>Optimal_Lux</t>
  </si>
  <si>
    <t>Setpoint_Temp</t>
  </si>
  <si>
    <t>Setpoint_RH</t>
  </si>
  <si>
    <t>Setpoint_CO2</t>
  </si>
  <si>
    <t>Setpoint_Lux</t>
  </si>
  <si>
    <t>Ambient_Temp</t>
  </si>
  <si>
    <t>Ambient_RH</t>
  </si>
  <si>
    <t>Ambient_CO2</t>
  </si>
  <si>
    <t>Ambient_Lux</t>
  </si>
  <si>
    <t>Timestamp</t>
  </si>
  <si>
    <t>Text Date</t>
  </si>
  <si>
    <t>Text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</si>
</sst>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8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NumberFormat="1"/>
    <xf numFmtId="49" fontId="0" fillId="0" borderId="0" xfId="0" applyNumberFormat="1"/>
    <xf numFmtId="1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workbookViewId="0">
      <selection activeCell="E2" sqref="E2:E109"/>
    </sheetView>
  </sheetViews>
  <sheetFormatPr baseColWidth="10" defaultRowHeight="16" x14ac:dyDescent="0.2"/>
  <cols>
    <col min="1" max="1" width="23.33203125" style="2" bestFit="1" customWidth="1"/>
    <col min="2" max="2" width="11.5" style="3" bestFit="1" customWidth="1"/>
    <col min="3" max="3" width="10.5" bestFit="1" customWidth="1"/>
    <col min="4" max="4" width="21.83203125" customWidth="1"/>
    <col min="5" max="5" width="34.33203125" customWidth="1"/>
    <col min="6" max="6" width="12.33203125" bestFit="1" customWidth="1"/>
    <col min="7" max="7" width="10" bestFit="1" customWidth="1"/>
    <col min="8" max="8" width="11" bestFit="1" customWidth="1"/>
    <col min="9" max="9" width="10.33203125" bestFit="1" customWidth="1"/>
    <col min="10" max="10" width="13.5" bestFit="1" customWidth="1"/>
    <col min="11" max="11" width="11.1640625" bestFit="1" customWidth="1"/>
    <col min="12" max="12" width="12.1640625" bestFit="1" customWidth="1"/>
    <col min="13" max="13" width="11.5" bestFit="1" customWidth="1"/>
    <col min="14" max="14" width="13.6640625" bestFit="1" customWidth="1"/>
    <col min="15" max="15" width="11.33203125" bestFit="1" customWidth="1"/>
    <col min="16" max="16" width="12.33203125" bestFit="1" customWidth="1"/>
    <col min="17" max="17" width="11.6640625" bestFit="1" customWidth="1"/>
    <col min="18" max="18" width="13.83203125" bestFit="1" customWidth="1"/>
    <col min="19" max="19" width="11.5" bestFit="1" customWidth="1"/>
    <col min="20" max="20" width="12.5" bestFit="1" customWidth="1"/>
    <col min="21" max="21" width="11.83203125" bestFit="1" customWidth="1"/>
  </cols>
  <sheetData>
    <row r="1" spans="1:21" x14ac:dyDescent="0.2">
      <c r="A1" s="9" t="s">
        <v>0</v>
      </c>
      <c r="B1" s="10" t="s">
        <v>1</v>
      </c>
      <c r="C1" s="5" t="s">
        <v>19</v>
      </c>
      <c r="D1" s="5" t="s">
        <v>20</v>
      </c>
      <c r="E1" s="5" t="s">
        <v>18</v>
      </c>
      <c r="F1" s="5" t="s">
        <v>2</v>
      </c>
      <c r="G1" s="5" t="s">
        <v>3</v>
      </c>
      <c r="H1" s="5" t="s">
        <v>4</v>
      </c>
      <c r="I1" s="5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</row>
    <row r="2" spans="1:21" x14ac:dyDescent="0.2">
      <c r="A2" s="2">
        <v>44314</v>
      </c>
      <c r="B2" s="3">
        <v>0.5</v>
      </c>
      <c r="C2" s="8" t="str">
        <f>TEXT(A2,"YYYY-MM-DD" )</f>
        <v>2021-04-28</v>
      </c>
      <c r="D2" s="11" t="str">
        <f>TEXT(B2, "HH:MM:SS")</f>
        <v>12:00:00</v>
      </c>
      <c r="E2" s="7" t="str">
        <f>_xlfn.CONCAT(C2," ", D2)</f>
        <v>2021-04-28 12:00:00</v>
      </c>
      <c r="F2">
        <v>28.75</v>
      </c>
      <c r="G2">
        <v>50.18</v>
      </c>
      <c r="H2">
        <v>365.71</v>
      </c>
      <c r="I2">
        <v>1078.93</v>
      </c>
      <c r="J2">
        <v>25</v>
      </c>
      <c r="K2">
        <v>60</v>
      </c>
      <c r="L2">
        <v>1200</v>
      </c>
      <c r="M2">
        <v>5000</v>
      </c>
      <c r="N2" s="4">
        <v>23.5</v>
      </c>
      <c r="O2">
        <v>62</v>
      </c>
      <c r="P2">
        <v>1500</v>
      </c>
      <c r="Q2">
        <v>4800</v>
      </c>
      <c r="R2">
        <f>0.95*N2</f>
        <v>22.324999999999999</v>
      </c>
      <c r="S2">
        <f t="shared" ref="S2:U2" si="0">0.95*O2</f>
        <v>58.9</v>
      </c>
      <c r="T2">
        <f t="shared" si="0"/>
        <v>1425</v>
      </c>
      <c r="U2">
        <f t="shared" si="0"/>
        <v>4560</v>
      </c>
    </row>
    <row r="3" spans="1:21" x14ac:dyDescent="0.2">
      <c r="A3" s="2">
        <v>44314</v>
      </c>
      <c r="B3" s="3">
        <v>0.54166666666666663</v>
      </c>
      <c r="C3" s="8" t="str">
        <f t="shared" ref="C3:C66" si="1">TEXT(A3,"YYYY-MM-DD" )</f>
        <v>2021-04-28</v>
      </c>
      <c r="D3" s="11" t="str">
        <f t="shared" ref="D3:D66" si="2">TEXT(B3, "HH:MM:SS")</f>
        <v>13:00:00</v>
      </c>
      <c r="E3" s="7" t="str">
        <f t="shared" ref="E3:E66" si="3">_xlfn.CONCAT(C3," ", D3)</f>
        <v>2021-04-28 13:00:00</v>
      </c>
      <c r="F3">
        <v>25.61</v>
      </c>
      <c r="G3">
        <v>58.43</v>
      </c>
      <c r="H3">
        <v>331.74</v>
      </c>
      <c r="I3">
        <v>2108.9499999999998</v>
      </c>
      <c r="J3">
        <v>25</v>
      </c>
      <c r="K3">
        <v>60</v>
      </c>
      <c r="L3">
        <v>1200</v>
      </c>
      <c r="M3">
        <v>5000</v>
      </c>
      <c r="N3" s="4">
        <v>23</v>
      </c>
      <c r="O3">
        <v>62</v>
      </c>
      <c r="P3">
        <v>1500</v>
      </c>
      <c r="Q3">
        <v>4800</v>
      </c>
      <c r="R3">
        <f t="shared" ref="R3:R21" si="4">0.95*N3</f>
        <v>21.849999999999998</v>
      </c>
      <c r="S3">
        <f t="shared" ref="S3:S21" si="5">0.95*O3</f>
        <v>58.9</v>
      </c>
      <c r="T3">
        <f t="shared" ref="T3:T21" si="6">0.95*P3</f>
        <v>1425</v>
      </c>
      <c r="U3">
        <f t="shared" ref="U3:U21" si="7">0.95*Q3</f>
        <v>4560</v>
      </c>
    </row>
    <row r="4" spans="1:21" x14ac:dyDescent="0.2">
      <c r="A4" s="2">
        <v>44314</v>
      </c>
      <c r="B4" s="3">
        <v>0.58333333333333337</v>
      </c>
      <c r="C4" s="8" t="str">
        <f t="shared" si="1"/>
        <v>2021-04-28</v>
      </c>
      <c r="D4" s="11" t="str">
        <f t="shared" si="2"/>
        <v>14:00:00</v>
      </c>
      <c r="E4" s="7" t="str">
        <f t="shared" si="3"/>
        <v>2021-04-28 14:00:00</v>
      </c>
      <c r="F4">
        <v>25.47</v>
      </c>
      <c r="G4">
        <v>58.66</v>
      </c>
      <c r="H4">
        <v>307.79000000000002</v>
      </c>
      <c r="I4">
        <v>2738.2</v>
      </c>
      <c r="J4">
        <v>25</v>
      </c>
      <c r="K4">
        <v>60</v>
      </c>
      <c r="L4">
        <v>1200</v>
      </c>
      <c r="M4">
        <v>5000</v>
      </c>
      <c r="N4" s="4">
        <v>23.5</v>
      </c>
      <c r="O4">
        <v>62</v>
      </c>
      <c r="P4">
        <v>1500</v>
      </c>
      <c r="Q4">
        <v>4800</v>
      </c>
      <c r="R4">
        <f t="shared" si="4"/>
        <v>22.324999999999999</v>
      </c>
      <c r="S4">
        <f t="shared" si="5"/>
        <v>58.9</v>
      </c>
      <c r="T4">
        <f t="shared" si="6"/>
        <v>1425</v>
      </c>
      <c r="U4">
        <f t="shared" si="7"/>
        <v>4560</v>
      </c>
    </row>
    <row r="5" spans="1:21" x14ac:dyDescent="0.2">
      <c r="A5" s="2">
        <v>44314</v>
      </c>
      <c r="B5" s="3">
        <v>0.625</v>
      </c>
      <c r="C5" s="8" t="str">
        <f t="shared" si="1"/>
        <v>2021-04-28</v>
      </c>
      <c r="D5" s="11" t="str">
        <f t="shared" si="2"/>
        <v>15:00:00</v>
      </c>
      <c r="E5" s="7" t="str">
        <f t="shared" si="3"/>
        <v>2021-04-28 15:00:00</v>
      </c>
      <c r="F5">
        <v>25.61</v>
      </c>
      <c r="G5">
        <v>59.85</v>
      </c>
      <c r="H5">
        <v>325.75</v>
      </c>
      <c r="I5">
        <v>2743.88</v>
      </c>
      <c r="J5">
        <v>25</v>
      </c>
      <c r="K5">
        <v>60</v>
      </c>
      <c r="L5">
        <v>1200</v>
      </c>
      <c r="M5">
        <v>5000</v>
      </c>
      <c r="N5" s="4">
        <v>23</v>
      </c>
      <c r="O5">
        <v>62</v>
      </c>
      <c r="P5">
        <v>1500</v>
      </c>
      <c r="Q5">
        <v>4800</v>
      </c>
      <c r="R5">
        <f t="shared" si="4"/>
        <v>21.849999999999998</v>
      </c>
      <c r="S5">
        <f t="shared" si="5"/>
        <v>58.9</v>
      </c>
      <c r="T5">
        <f t="shared" si="6"/>
        <v>1425</v>
      </c>
      <c r="U5">
        <f t="shared" si="7"/>
        <v>4560</v>
      </c>
    </row>
    <row r="6" spans="1:21" x14ac:dyDescent="0.2">
      <c r="A6" s="2">
        <v>44314</v>
      </c>
      <c r="B6" s="3">
        <v>0.66666666666666663</v>
      </c>
      <c r="C6" s="8" t="str">
        <f t="shared" si="1"/>
        <v>2021-04-28</v>
      </c>
      <c r="D6" s="11" t="str">
        <f t="shared" si="2"/>
        <v>16:00:00</v>
      </c>
      <c r="E6" s="7" t="str">
        <f t="shared" si="3"/>
        <v>2021-04-28 16:00:00</v>
      </c>
      <c r="F6">
        <v>26.08</v>
      </c>
      <c r="G6">
        <v>59.67</v>
      </c>
      <c r="H6">
        <v>336.04</v>
      </c>
      <c r="I6">
        <v>2738.5</v>
      </c>
      <c r="J6">
        <v>25</v>
      </c>
      <c r="K6">
        <v>60</v>
      </c>
      <c r="L6">
        <v>1200</v>
      </c>
      <c r="M6">
        <v>5000</v>
      </c>
      <c r="N6" s="4">
        <v>23.5</v>
      </c>
      <c r="O6">
        <v>62</v>
      </c>
      <c r="P6">
        <v>1500</v>
      </c>
      <c r="Q6">
        <v>4800</v>
      </c>
      <c r="R6">
        <f t="shared" si="4"/>
        <v>22.324999999999999</v>
      </c>
      <c r="S6">
        <f t="shared" si="5"/>
        <v>58.9</v>
      </c>
      <c r="T6">
        <f t="shared" si="6"/>
        <v>1425</v>
      </c>
      <c r="U6">
        <f t="shared" si="7"/>
        <v>4560</v>
      </c>
    </row>
    <row r="7" spans="1:21" x14ac:dyDescent="0.2">
      <c r="A7" s="2">
        <v>44314</v>
      </c>
      <c r="B7" s="3">
        <v>0.70833333333333337</v>
      </c>
      <c r="C7" s="8" t="str">
        <f t="shared" si="1"/>
        <v>2021-04-28</v>
      </c>
      <c r="D7" s="11" t="str">
        <f t="shared" si="2"/>
        <v>17:00:00</v>
      </c>
      <c r="E7" s="7" t="str">
        <f t="shared" si="3"/>
        <v>2021-04-28 17:00:00</v>
      </c>
      <c r="F7">
        <v>26.33</v>
      </c>
      <c r="G7">
        <v>58.37</v>
      </c>
      <c r="H7">
        <v>316.45</v>
      </c>
      <c r="I7">
        <v>2742.84</v>
      </c>
      <c r="J7">
        <v>25</v>
      </c>
      <c r="K7">
        <v>60</v>
      </c>
      <c r="L7">
        <v>1200</v>
      </c>
      <c r="M7">
        <v>5000</v>
      </c>
      <c r="N7" s="4">
        <v>23</v>
      </c>
      <c r="O7">
        <v>62</v>
      </c>
      <c r="P7">
        <v>1500</v>
      </c>
      <c r="Q7">
        <v>4800</v>
      </c>
      <c r="R7">
        <f t="shared" si="4"/>
        <v>21.849999999999998</v>
      </c>
      <c r="S7">
        <f t="shared" si="5"/>
        <v>58.9</v>
      </c>
      <c r="T7">
        <f t="shared" si="6"/>
        <v>1425</v>
      </c>
      <c r="U7">
        <f t="shared" si="7"/>
        <v>4560</v>
      </c>
    </row>
    <row r="8" spans="1:21" x14ac:dyDescent="0.2">
      <c r="A8" s="2">
        <v>44314</v>
      </c>
      <c r="B8" s="3">
        <v>0.75</v>
      </c>
      <c r="C8" s="8" t="str">
        <f t="shared" si="1"/>
        <v>2021-04-28</v>
      </c>
      <c r="D8" s="11" t="str">
        <f t="shared" si="2"/>
        <v>18:00:00</v>
      </c>
      <c r="E8" s="7" t="str">
        <f t="shared" si="3"/>
        <v>2021-04-28 18:00:00</v>
      </c>
      <c r="F8">
        <v>25.83</v>
      </c>
      <c r="G8">
        <v>58.22</v>
      </c>
      <c r="H8">
        <v>297.14999999999998</v>
      </c>
      <c r="I8">
        <v>1503.36</v>
      </c>
      <c r="J8">
        <v>18</v>
      </c>
      <c r="K8">
        <v>60</v>
      </c>
      <c r="L8">
        <v>1200</v>
      </c>
      <c r="M8">
        <v>5000</v>
      </c>
      <c r="N8" s="4">
        <v>17.5</v>
      </c>
      <c r="O8">
        <v>62</v>
      </c>
      <c r="P8">
        <v>1500</v>
      </c>
      <c r="Q8">
        <v>4800</v>
      </c>
      <c r="R8">
        <f t="shared" si="4"/>
        <v>16.625</v>
      </c>
      <c r="S8">
        <f t="shared" si="5"/>
        <v>58.9</v>
      </c>
      <c r="T8">
        <f t="shared" si="6"/>
        <v>1425</v>
      </c>
      <c r="U8">
        <f t="shared" si="7"/>
        <v>4560</v>
      </c>
    </row>
    <row r="9" spans="1:21" x14ac:dyDescent="0.2">
      <c r="A9" s="2">
        <v>44314</v>
      </c>
      <c r="B9" s="3">
        <v>0.79166666666666663</v>
      </c>
      <c r="C9" s="8" t="str">
        <f t="shared" si="1"/>
        <v>2021-04-28</v>
      </c>
      <c r="D9" s="11" t="str">
        <f t="shared" si="2"/>
        <v>19:00:00</v>
      </c>
      <c r="E9" s="7" t="str">
        <f t="shared" si="3"/>
        <v>2021-04-28 19:00:00</v>
      </c>
      <c r="F9">
        <v>22.97</v>
      </c>
      <c r="G9">
        <v>61.11</v>
      </c>
      <c r="H9">
        <v>293.49</v>
      </c>
      <c r="I9">
        <v>0</v>
      </c>
      <c r="J9">
        <v>12</v>
      </c>
      <c r="K9">
        <v>70</v>
      </c>
      <c r="L9">
        <v>500</v>
      </c>
      <c r="M9">
        <v>2500</v>
      </c>
      <c r="N9" s="4">
        <v>10</v>
      </c>
      <c r="O9">
        <v>72</v>
      </c>
      <c r="P9">
        <v>800</v>
      </c>
      <c r="Q9">
        <v>2400</v>
      </c>
      <c r="R9">
        <f t="shared" si="4"/>
        <v>9.5</v>
      </c>
      <c r="S9">
        <f t="shared" si="5"/>
        <v>68.399999999999991</v>
      </c>
      <c r="T9">
        <f t="shared" si="6"/>
        <v>760</v>
      </c>
      <c r="U9">
        <f t="shared" si="7"/>
        <v>2280</v>
      </c>
    </row>
    <row r="10" spans="1:21" x14ac:dyDescent="0.2">
      <c r="A10" s="2">
        <v>44314</v>
      </c>
      <c r="B10" s="3">
        <v>0.83333333333333337</v>
      </c>
      <c r="C10" s="8" t="str">
        <f t="shared" si="1"/>
        <v>2021-04-28</v>
      </c>
      <c r="D10" s="11" t="str">
        <f t="shared" si="2"/>
        <v>20:00:00</v>
      </c>
      <c r="E10" s="7" t="str">
        <f t="shared" si="3"/>
        <v>2021-04-28 20:00:00</v>
      </c>
      <c r="F10">
        <v>21.68</v>
      </c>
      <c r="G10">
        <v>62.32</v>
      </c>
      <c r="H10">
        <v>304.7</v>
      </c>
      <c r="I10">
        <v>0</v>
      </c>
      <c r="J10">
        <v>12</v>
      </c>
      <c r="K10">
        <v>70</v>
      </c>
      <c r="L10">
        <v>500</v>
      </c>
      <c r="M10">
        <v>0</v>
      </c>
      <c r="N10" s="4">
        <v>10</v>
      </c>
      <c r="O10">
        <v>72</v>
      </c>
      <c r="P10">
        <v>800</v>
      </c>
      <c r="Q10">
        <v>0</v>
      </c>
      <c r="R10">
        <f t="shared" si="4"/>
        <v>9.5</v>
      </c>
      <c r="S10">
        <f t="shared" si="5"/>
        <v>68.399999999999991</v>
      </c>
      <c r="T10">
        <f t="shared" si="6"/>
        <v>760</v>
      </c>
      <c r="U10">
        <f t="shared" si="7"/>
        <v>0</v>
      </c>
    </row>
    <row r="11" spans="1:21" x14ac:dyDescent="0.2">
      <c r="A11" s="2">
        <v>44314</v>
      </c>
      <c r="B11" s="3">
        <v>0.875</v>
      </c>
      <c r="C11" s="8" t="str">
        <f t="shared" si="1"/>
        <v>2021-04-28</v>
      </c>
      <c r="D11" s="11" t="str">
        <f t="shared" si="2"/>
        <v>21:00:00</v>
      </c>
      <c r="E11" s="7" t="str">
        <f t="shared" si="3"/>
        <v>2021-04-28 21:00:00</v>
      </c>
      <c r="F11">
        <v>20.88</v>
      </c>
      <c r="G11">
        <v>63.42</v>
      </c>
      <c r="H11">
        <v>322.07</v>
      </c>
      <c r="I11">
        <v>0</v>
      </c>
      <c r="J11">
        <v>12</v>
      </c>
      <c r="K11">
        <v>70</v>
      </c>
      <c r="L11">
        <v>500</v>
      </c>
      <c r="M11">
        <v>0</v>
      </c>
      <c r="N11" s="4">
        <v>10</v>
      </c>
      <c r="O11">
        <v>72</v>
      </c>
      <c r="P11">
        <v>800</v>
      </c>
      <c r="Q11">
        <v>0</v>
      </c>
      <c r="R11">
        <f t="shared" si="4"/>
        <v>9.5</v>
      </c>
      <c r="S11">
        <f t="shared" si="5"/>
        <v>68.399999999999991</v>
      </c>
      <c r="T11">
        <f t="shared" si="6"/>
        <v>760</v>
      </c>
      <c r="U11">
        <f t="shared" si="7"/>
        <v>0</v>
      </c>
    </row>
    <row r="12" spans="1:21" x14ac:dyDescent="0.2">
      <c r="A12" s="2">
        <v>44314</v>
      </c>
      <c r="B12" s="3">
        <v>0.91666666666666663</v>
      </c>
      <c r="C12" s="8" t="str">
        <f t="shared" si="1"/>
        <v>2021-04-28</v>
      </c>
      <c r="D12" s="11" t="str">
        <f t="shared" si="2"/>
        <v>22:00:00</v>
      </c>
      <c r="E12" s="7" t="str">
        <f t="shared" si="3"/>
        <v>2021-04-28 22:00:00</v>
      </c>
      <c r="F12">
        <v>20.46</v>
      </c>
      <c r="G12">
        <v>64.34</v>
      </c>
      <c r="H12">
        <v>323.83</v>
      </c>
      <c r="I12">
        <v>0</v>
      </c>
      <c r="J12">
        <v>12</v>
      </c>
      <c r="K12">
        <v>70</v>
      </c>
      <c r="L12">
        <v>500</v>
      </c>
      <c r="M12">
        <v>0</v>
      </c>
      <c r="N12" s="4">
        <v>10</v>
      </c>
      <c r="O12">
        <v>72</v>
      </c>
      <c r="P12">
        <v>800</v>
      </c>
      <c r="Q12">
        <v>0</v>
      </c>
      <c r="R12">
        <f t="shared" si="4"/>
        <v>9.5</v>
      </c>
      <c r="S12">
        <f t="shared" si="5"/>
        <v>68.399999999999991</v>
      </c>
      <c r="T12">
        <f t="shared" si="6"/>
        <v>760</v>
      </c>
      <c r="U12">
        <f t="shared" si="7"/>
        <v>0</v>
      </c>
    </row>
    <row r="13" spans="1:21" x14ac:dyDescent="0.2">
      <c r="A13" s="2">
        <v>44314</v>
      </c>
      <c r="B13" s="3">
        <v>0.95833333333333337</v>
      </c>
      <c r="C13" s="8" t="str">
        <f t="shared" si="1"/>
        <v>2021-04-28</v>
      </c>
      <c r="D13" s="11" t="str">
        <f t="shared" si="2"/>
        <v>23:00:00</v>
      </c>
      <c r="E13" s="7" t="str">
        <f t="shared" si="3"/>
        <v>2021-04-28 23:00:00</v>
      </c>
      <c r="F13">
        <v>20.149999999999999</v>
      </c>
      <c r="G13">
        <v>65.41</v>
      </c>
      <c r="H13">
        <v>314.08999999999997</v>
      </c>
      <c r="I13">
        <v>0</v>
      </c>
      <c r="J13">
        <v>12</v>
      </c>
      <c r="K13">
        <v>70</v>
      </c>
      <c r="L13">
        <v>500</v>
      </c>
      <c r="M13">
        <v>0</v>
      </c>
      <c r="N13" s="4">
        <v>10</v>
      </c>
      <c r="O13">
        <v>72</v>
      </c>
      <c r="P13">
        <v>800</v>
      </c>
      <c r="Q13">
        <v>0</v>
      </c>
      <c r="R13">
        <f t="shared" si="4"/>
        <v>9.5</v>
      </c>
      <c r="S13">
        <f t="shared" si="5"/>
        <v>68.399999999999991</v>
      </c>
      <c r="T13">
        <f t="shared" si="6"/>
        <v>760</v>
      </c>
      <c r="U13">
        <f t="shared" si="7"/>
        <v>0</v>
      </c>
    </row>
    <row r="14" spans="1:21" x14ac:dyDescent="0.2">
      <c r="A14" s="2">
        <v>44315</v>
      </c>
      <c r="B14" s="3">
        <v>0</v>
      </c>
      <c r="C14" s="8" t="str">
        <f t="shared" si="1"/>
        <v>2021-04-29</v>
      </c>
      <c r="D14" s="11" t="str">
        <f t="shared" si="2"/>
        <v>00:00:00</v>
      </c>
      <c r="E14" s="7" t="str">
        <f t="shared" si="3"/>
        <v>2021-04-29 00:00:00</v>
      </c>
      <c r="F14">
        <v>19.98</v>
      </c>
      <c r="G14">
        <v>66.69</v>
      </c>
      <c r="H14">
        <v>303.5</v>
      </c>
      <c r="I14">
        <v>0</v>
      </c>
      <c r="J14">
        <v>12</v>
      </c>
      <c r="K14">
        <v>70</v>
      </c>
      <c r="L14">
        <v>500</v>
      </c>
      <c r="M14">
        <v>0</v>
      </c>
      <c r="N14" s="4">
        <v>10</v>
      </c>
      <c r="O14">
        <v>72</v>
      </c>
      <c r="P14">
        <v>800</v>
      </c>
      <c r="Q14">
        <v>0</v>
      </c>
      <c r="R14">
        <f t="shared" si="4"/>
        <v>9.5</v>
      </c>
      <c r="S14">
        <f t="shared" si="5"/>
        <v>68.399999999999991</v>
      </c>
      <c r="T14">
        <f t="shared" si="6"/>
        <v>760</v>
      </c>
      <c r="U14">
        <f t="shared" si="7"/>
        <v>0</v>
      </c>
    </row>
    <row r="15" spans="1:21" x14ac:dyDescent="0.2">
      <c r="A15" s="2">
        <v>44315</v>
      </c>
      <c r="B15" s="3">
        <v>4.1666666666666664E-2</v>
      </c>
      <c r="C15" s="8" t="str">
        <f t="shared" si="1"/>
        <v>2021-04-29</v>
      </c>
      <c r="D15" s="11" t="str">
        <f t="shared" si="2"/>
        <v>01:00:00</v>
      </c>
      <c r="E15" s="7" t="str">
        <f t="shared" si="3"/>
        <v>2021-04-29 01:00:00</v>
      </c>
      <c r="F15">
        <v>19.63</v>
      </c>
      <c r="G15">
        <v>65.87</v>
      </c>
      <c r="H15">
        <v>298.39999999999998</v>
      </c>
      <c r="I15">
        <v>0</v>
      </c>
      <c r="J15">
        <v>12</v>
      </c>
      <c r="K15">
        <v>70</v>
      </c>
      <c r="L15">
        <v>500</v>
      </c>
      <c r="M15">
        <v>0</v>
      </c>
      <c r="N15" s="4">
        <v>10</v>
      </c>
      <c r="O15">
        <v>72</v>
      </c>
      <c r="P15">
        <v>800</v>
      </c>
      <c r="Q15">
        <v>0</v>
      </c>
      <c r="R15">
        <f t="shared" si="4"/>
        <v>9.5</v>
      </c>
      <c r="S15">
        <f t="shared" si="5"/>
        <v>68.399999999999991</v>
      </c>
      <c r="T15">
        <f t="shared" si="6"/>
        <v>760</v>
      </c>
      <c r="U15">
        <f t="shared" si="7"/>
        <v>0</v>
      </c>
    </row>
    <row r="16" spans="1:21" x14ac:dyDescent="0.2">
      <c r="A16" s="2">
        <v>44315</v>
      </c>
      <c r="B16" s="3">
        <v>8.3333333333333329E-2</v>
      </c>
      <c r="C16" s="8" t="str">
        <f t="shared" si="1"/>
        <v>2021-04-29</v>
      </c>
      <c r="D16" s="11" t="str">
        <f t="shared" si="2"/>
        <v>02:00:00</v>
      </c>
      <c r="E16" s="7" t="str">
        <f t="shared" si="3"/>
        <v>2021-04-29 02:00:00</v>
      </c>
      <c r="F16">
        <v>19.22</v>
      </c>
      <c r="G16">
        <v>66.290000000000006</v>
      </c>
      <c r="H16">
        <v>294.58</v>
      </c>
      <c r="I16">
        <v>0</v>
      </c>
      <c r="J16">
        <v>12</v>
      </c>
      <c r="K16">
        <v>70</v>
      </c>
      <c r="L16">
        <v>500</v>
      </c>
      <c r="M16">
        <v>0</v>
      </c>
      <c r="N16" s="4">
        <v>10</v>
      </c>
      <c r="O16">
        <v>72</v>
      </c>
      <c r="P16">
        <v>800</v>
      </c>
      <c r="Q16">
        <v>0</v>
      </c>
      <c r="R16">
        <f t="shared" si="4"/>
        <v>9.5</v>
      </c>
      <c r="S16">
        <f t="shared" si="5"/>
        <v>68.399999999999991</v>
      </c>
      <c r="T16">
        <f t="shared" si="6"/>
        <v>760</v>
      </c>
      <c r="U16">
        <f t="shared" si="7"/>
        <v>0</v>
      </c>
    </row>
    <row r="17" spans="1:21" x14ac:dyDescent="0.2">
      <c r="A17" s="2">
        <v>44315</v>
      </c>
      <c r="B17" s="3">
        <v>0.125</v>
      </c>
      <c r="C17" s="8" t="str">
        <f t="shared" si="1"/>
        <v>2021-04-29</v>
      </c>
      <c r="D17" s="11" t="str">
        <f t="shared" si="2"/>
        <v>03:00:00</v>
      </c>
      <c r="E17" s="7" t="str">
        <f t="shared" si="3"/>
        <v>2021-04-29 03:00:00</v>
      </c>
      <c r="F17">
        <v>18.95</v>
      </c>
      <c r="G17">
        <v>67.14</v>
      </c>
      <c r="H17">
        <v>286.77</v>
      </c>
      <c r="I17">
        <v>0</v>
      </c>
      <c r="J17">
        <v>12</v>
      </c>
      <c r="K17">
        <v>70</v>
      </c>
      <c r="L17">
        <v>500</v>
      </c>
      <c r="M17">
        <v>0</v>
      </c>
      <c r="N17" s="4">
        <v>10</v>
      </c>
      <c r="O17">
        <v>72</v>
      </c>
      <c r="P17">
        <v>800</v>
      </c>
      <c r="Q17">
        <v>0</v>
      </c>
      <c r="R17">
        <f t="shared" si="4"/>
        <v>9.5</v>
      </c>
      <c r="S17">
        <f t="shared" si="5"/>
        <v>68.399999999999991</v>
      </c>
      <c r="T17">
        <f t="shared" si="6"/>
        <v>760</v>
      </c>
      <c r="U17">
        <f t="shared" si="7"/>
        <v>0</v>
      </c>
    </row>
    <row r="18" spans="1:21" x14ac:dyDescent="0.2">
      <c r="A18" s="2">
        <v>44315</v>
      </c>
      <c r="B18" s="3">
        <v>0.16666666666666666</v>
      </c>
      <c r="C18" s="8" t="str">
        <f t="shared" si="1"/>
        <v>2021-04-29</v>
      </c>
      <c r="D18" s="11" t="str">
        <f t="shared" si="2"/>
        <v>04:00:00</v>
      </c>
      <c r="E18" s="7" t="str">
        <f t="shared" si="3"/>
        <v>2021-04-29 04:00:00</v>
      </c>
      <c r="F18">
        <v>18.829999999999998</v>
      </c>
      <c r="G18">
        <v>67.78</v>
      </c>
      <c r="H18">
        <v>279.27999999999997</v>
      </c>
      <c r="I18">
        <v>0</v>
      </c>
      <c r="J18">
        <v>12</v>
      </c>
      <c r="K18">
        <v>70</v>
      </c>
      <c r="L18">
        <v>500</v>
      </c>
      <c r="M18">
        <v>0</v>
      </c>
      <c r="N18" s="4">
        <v>10</v>
      </c>
      <c r="O18">
        <v>72</v>
      </c>
      <c r="P18">
        <v>800</v>
      </c>
      <c r="Q18">
        <v>0</v>
      </c>
      <c r="R18">
        <f t="shared" si="4"/>
        <v>9.5</v>
      </c>
      <c r="S18">
        <f t="shared" si="5"/>
        <v>68.399999999999991</v>
      </c>
      <c r="T18">
        <f t="shared" si="6"/>
        <v>760</v>
      </c>
      <c r="U18">
        <f t="shared" si="7"/>
        <v>0</v>
      </c>
    </row>
    <row r="19" spans="1:21" x14ac:dyDescent="0.2">
      <c r="A19" s="2">
        <v>44315</v>
      </c>
      <c r="B19" s="3">
        <v>0.20833333333333334</v>
      </c>
      <c r="C19" s="8" t="str">
        <f t="shared" si="1"/>
        <v>2021-04-29</v>
      </c>
      <c r="D19" s="11" t="str">
        <f t="shared" si="2"/>
        <v>05:00:00</v>
      </c>
      <c r="E19" s="7" t="str">
        <f t="shared" si="3"/>
        <v>2021-04-29 05:00:00</v>
      </c>
      <c r="F19">
        <v>18.7</v>
      </c>
      <c r="G19">
        <v>68.569999999999993</v>
      </c>
      <c r="H19">
        <v>281.86</v>
      </c>
      <c r="I19">
        <v>0</v>
      </c>
      <c r="J19">
        <v>12</v>
      </c>
      <c r="K19">
        <v>70</v>
      </c>
      <c r="L19">
        <v>500</v>
      </c>
      <c r="M19">
        <v>0</v>
      </c>
      <c r="N19" s="4">
        <v>10</v>
      </c>
      <c r="O19">
        <v>72</v>
      </c>
      <c r="P19">
        <v>800</v>
      </c>
      <c r="Q19">
        <v>0</v>
      </c>
      <c r="R19">
        <f t="shared" si="4"/>
        <v>9.5</v>
      </c>
      <c r="S19">
        <f t="shared" si="5"/>
        <v>68.399999999999991</v>
      </c>
      <c r="T19">
        <f t="shared" si="6"/>
        <v>760</v>
      </c>
      <c r="U19">
        <f t="shared" si="7"/>
        <v>0</v>
      </c>
    </row>
    <row r="20" spans="1:21" x14ac:dyDescent="0.2">
      <c r="A20" s="2">
        <v>44315</v>
      </c>
      <c r="B20" s="3">
        <v>0.25</v>
      </c>
      <c r="C20" s="8" t="str">
        <f t="shared" si="1"/>
        <v>2021-04-29</v>
      </c>
      <c r="D20" s="11" t="str">
        <f t="shared" si="2"/>
        <v>06:00:00</v>
      </c>
      <c r="E20" s="7" t="str">
        <f t="shared" si="3"/>
        <v>2021-04-29 06:00:00</v>
      </c>
      <c r="F20">
        <v>18.600000000000001</v>
      </c>
      <c r="G20">
        <v>68.78</v>
      </c>
      <c r="H20">
        <v>280.64</v>
      </c>
      <c r="I20">
        <v>0</v>
      </c>
      <c r="J20">
        <v>18</v>
      </c>
      <c r="K20">
        <v>70</v>
      </c>
      <c r="L20">
        <v>500</v>
      </c>
      <c r="M20">
        <v>2500</v>
      </c>
      <c r="N20" s="4">
        <v>17.5</v>
      </c>
      <c r="O20">
        <v>72</v>
      </c>
      <c r="P20">
        <v>800</v>
      </c>
      <c r="Q20">
        <v>2400</v>
      </c>
      <c r="R20">
        <f t="shared" si="4"/>
        <v>16.625</v>
      </c>
      <c r="S20">
        <f t="shared" si="5"/>
        <v>68.399999999999991</v>
      </c>
      <c r="T20">
        <f t="shared" si="6"/>
        <v>760</v>
      </c>
      <c r="U20">
        <f t="shared" si="7"/>
        <v>2280</v>
      </c>
    </row>
    <row r="21" spans="1:21" x14ac:dyDescent="0.2">
      <c r="A21" s="2">
        <v>44315</v>
      </c>
      <c r="B21" s="3">
        <v>0.29166666666666669</v>
      </c>
      <c r="C21" s="8" t="str">
        <f t="shared" si="1"/>
        <v>2021-04-29</v>
      </c>
      <c r="D21" s="11" t="str">
        <f t="shared" si="2"/>
        <v>07:00:00</v>
      </c>
      <c r="E21" s="7" t="str">
        <f t="shared" si="3"/>
        <v>2021-04-29 07:00:00</v>
      </c>
      <c r="F21">
        <v>18.46</v>
      </c>
      <c r="G21">
        <v>69.63</v>
      </c>
      <c r="H21">
        <v>289.3</v>
      </c>
      <c r="I21">
        <v>0</v>
      </c>
      <c r="J21">
        <v>25</v>
      </c>
      <c r="K21">
        <v>60</v>
      </c>
      <c r="L21">
        <v>1200</v>
      </c>
      <c r="M21">
        <v>5000</v>
      </c>
      <c r="N21" s="4">
        <v>23.5</v>
      </c>
      <c r="O21">
        <v>62</v>
      </c>
      <c r="P21">
        <v>1500</v>
      </c>
      <c r="Q21">
        <v>4800</v>
      </c>
      <c r="R21">
        <f t="shared" si="4"/>
        <v>22.324999999999999</v>
      </c>
      <c r="S21">
        <f t="shared" si="5"/>
        <v>58.9</v>
      </c>
      <c r="T21">
        <f t="shared" si="6"/>
        <v>1425</v>
      </c>
      <c r="U21">
        <f t="shared" si="7"/>
        <v>4560</v>
      </c>
    </row>
    <row r="22" spans="1:21" x14ac:dyDescent="0.2">
      <c r="A22" s="2">
        <v>44315</v>
      </c>
      <c r="B22" s="3">
        <v>0.33333333333333331</v>
      </c>
      <c r="C22" s="8" t="str">
        <f t="shared" si="1"/>
        <v>2021-04-29</v>
      </c>
      <c r="D22" s="11" t="str">
        <f t="shared" si="2"/>
        <v>08:00:00</v>
      </c>
      <c r="E22" s="7" t="str">
        <f t="shared" si="3"/>
        <v>2021-04-29 08:00:00</v>
      </c>
      <c r="F22">
        <v>19.27</v>
      </c>
      <c r="G22">
        <v>70.23</v>
      </c>
      <c r="H22">
        <v>290.52</v>
      </c>
      <c r="I22">
        <v>883.51</v>
      </c>
      <c r="J22">
        <v>25</v>
      </c>
      <c r="K22">
        <v>60</v>
      </c>
      <c r="L22">
        <v>1200</v>
      </c>
      <c r="M22">
        <v>5000</v>
      </c>
      <c r="N22" s="4">
        <v>23</v>
      </c>
      <c r="O22">
        <v>62</v>
      </c>
      <c r="P22">
        <v>1500</v>
      </c>
      <c r="Q22">
        <v>4800</v>
      </c>
      <c r="R22">
        <f t="shared" ref="R22:R85" si="8">0.95*N22</f>
        <v>21.849999999999998</v>
      </c>
      <c r="S22">
        <f t="shared" ref="S22:S85" si="9">0.95*O22</f>
        <v>58.9</v>
      </c>
      <c r="T22">
        <f t="shared" ref="T22:T85" si="10">0.95*P22</f>
        <v>1425</v>
      </c>
      <c r="U22">
        <f t="shared" ref="U22:U85" si="11">0.95*Q22</f>
        <v>4560</v>
      </c>
    </row>
    <row r="23" spans="1:21" x14ac:dyDescent="0.2">
      <c r="A23" s="2">
        <v>44315</v>
      </c>
      <c r="B23" s="3">
        <v>0.375</v>
      </c>
      <c r="C23" s="8" t="str">
        <f t="shared" si="1"/>
        <v>2021-04-29</v>
      </c>
      <c r="D23" s="11" t="str">
        <f t="shared" si="2"/>
        <v>09:00:00</v>
      </c>
      <c r="E23" s="7" t="str">
        <f t="shared" si="3"/>
        <v>2021-04-29 09:00:00</v>
      </c>
      <c r="F23">
        <v>23.21</v>
      </c>
      <c r="G23">
        <v>63.85</v>
      </c>
      <c r="H23">
        <v>285.77</v>
      </c>
      <c r="I23">
        <v>2691.9</v>
      </c>
      <c r="J23">
        <v>25</v>
      </c>
      <c r="K23">
        <v>60</v>
      </c>
      <c r="L23">
        <v>1200</v>
      </c>
      <c r="M23">
        <v>5000</v>
      </c>
      <c r="N23" s="4">
        <v>23.5</v>
      </c>
      <c r="O23">
        <v>62</v>
      </c>
      <c r="P23">
        <v>1500</v>
      </c>
      <c r="Q23">
        <v>4800</v>
      </c>
      <c r="R23">
        <f t="shared" si="8"/>
        <v>22.324999999999999</v>
      </c>
      <c r="S23">
        <f t="shared" si="9"/>
        <v>58.9</v>
      </c>
      <c r="T23">
        <f t="shared" si="10"/>
        <v>1425</v>
      </c>
      <c r="U23">
        <f t="shared" si="11"/>
        <v>4560</v>
      </c>
    </row>
    <row r="24" spans="1:21" x14ac:dyDescent="0.2">
      <c r="A24" s="2">
        <v>44315</v>
      </c>
      <c r="B24" s="3">
        <v>0.41666666666666669</v>
      </c>
      <c r="C24" s="8" t="str">
        <f t="shared" si="1"/>
        <v>2021-04-29</v>
      </c>
      <c r="D24" s="11" t="str">
        <f t="shared" si="2"/>
        <v>10:00:00</v>
      </c>
      <c r="E24" s="7" t="str">
        <f t="shared" si="3"/>
        <v>2021-04-29 10:00:00</v>
      </c>
      <c r="F24">
        <v>24.92</v>
      </c>
      <c r="G24">
        <v>61.21</v>
      </c>
      <c r="H24">
        <v>276.73</v>
      </c>
      <c r="I24">
        <v>2740.98</v>
      </c>
      <c r="J24">
        <v>25</v>
      </c>
      <c r="K24">
        <v>60</v>
      </c>
      <c r="L24">
        <v>1200</v>
      </c>
      <c r="M24">
        <v>5000</v>
      </c>
      <c r="N24" s="4">
        <v>23</v>
      </c>
      <c r="O24">
        <v>62</v>
      </c>
      <c r="P24">
        <v>1500</v>
      </c>
      <c r="Q24">
        <v>4800</v>
      </c>
      <c r="R24">
        <f t="shared" si="8"/>
        <v>21.849999999999998</v>
      </c>
      <c r="S24">
        <f t="shared" si="9"/>
        <v>58.9</v>
      </c>
      <c r="T24">
        <f t="shared" si="10"/>
        <v>1425</v>
      </c>
      <c r="U24">
        <f t="shared" si="11"/>
        <v>4560</v>
      </c>
    </row>
    <row r="25" spans="1:21" x14ac:dyDescent="0.2">
      <c r="A25" s="2">
        <v>44315</v>
      </c>
      <c r="B25" s="3">
        <v>0.45833333333333331</v>
      </c>
      <c r="C25" s="8" t="str">
        <f t="shared" si="1"/>
        <v>2021-04-29</v>
      </c>
      <c r="D25" s="11" t="str">
        <f t="shared" si="2"/>
        <v>11:00:00</v>
      </c>
      <c r="E25" s="7" t="str">
        <f t="shared" si="3"/>
        <v>2021-04-29 11:00:00</v>
      </c>
      <c r="F25">
        <v>26</v>
      </c>
      <c r="G25">
        <v>60.21</v>
      </c>
      <c r="H25">
        <v>265.24</v>
      </c>
      <c r="I25">
        <v>2725.87</v>
      </c>
      <c r="J25">
        <v>25</v>
      </c>
      <c r="K25">
        <v>60</v>
      </c>
      <c r="L25">
        <v>1200</v>
      </c>
      <c r="M25">
        <v>5000</v>
      </c>
      <c r="N25" s="4">
        <v>23.5</v>
      </c>
      <c r="O25">
        <v>62</v>
      </c>
      <c r="P25">
        <v>1500</v>
      </c>
      <c r="Q25">
        <v>4800</v>
      </c>
      <c r="R25">
        <f t="shared" si="8"/>
        <v>22.324999999999999</v>
      </c>
      <c r="S25">
        <f t="shared" si="9"/>
        <v>58.9</v>
      </c>
      <c r="T25">
        <f t="shared" si="10"/>
        <v>1425</v>
      </c>
      <c r="U25">
        <f t="shared" si="11"/>
        <v>4560</v>
      </c>
    </row>
    <row r="26" spans="1:21" x14ac:dyDescent="0.2">
      <c r="A26" s="2">
        <v>44315</v>
      </c>
      <c r="B26" s="3">
        <v>0.5</v>
      </c>
      <c r="C26" s="8" t="str">
        <f t="shared" si="1"/>
        <v>2021-04-29</v>
      </c>
      <c r="D26" s="11" t="str">
        <f t="shared" si="2"/>
        <v>12:00:00</v>
      </c>
      <c r="E26" s="7" t="str">
        <f t="shared" si="3"/>
        <v>2021-04-29 12:00:00</v>
      </c>
      <c r="F26">
        <v>26.56</v>
      </c>
      <c r="G26">
        <v>59.02</v>
      </c>
      <c r="H26">
        <v>259.76</v>
      </c>
      <c r="I26">
        <v>2733.66</v>
      </c>
      <c r="J26">
        <v>25</v>
      </c>
      <c r="K26">
        <v>60</v>
      </c>
      <c r="L26">
        <v>1200</v>
      </c>
      <c r="M26">
        <v>5000</v>
      </c>
      <c r="N26" s="4">
        <v>23.5</v>
      </c>
      <c r="O26">
        <v>62</v>
      </c>
      <c r="P26">
        <v>1500</v>
      </c>
      <c r="Q26">
        <v>4800</v>
      </c>
      <c r="R26">
        <f t="shared" si="8"/>
        <v>22.324999999999999</v>
      </c>
      <c r="S26">
        <f t="shared" si="9"/>
        <v>58.9</v>
      </c>
      <c r="T26">
        <f t="shared" si="10"/>
        <v>1425</v>
      </c>
      <c r="U26">
        <f t="shared" si="11"/>
        <v>4560</v>
      </c>
    </row>
    <row r="27" spans="1:21" x14ac:dyDescent="0.2">
      <c r="A27" s="2">
        <v>44315</v>
      </c>
      <c r="B27" s="3">
        <v>0.54166666666666663</v>
      </c>
      <c r="C27" s="8" t="str">
        <f t="shared" si="1"/>
        <v>2021-04-29</v>
      </c>
      <c r="D27" s="11" t="str">
        <f t="shared" si="2"/>
        <v>13:00:00</v>
      </c>
      <c r="E27" s="7" t="str">
        <f t="shared" si="3"/>
        <v>2021-04-29 13:00:00</v>
      </c>
      <c r="F27">
        <v>27.07</v>
      </c>
      <c r="G27">
        <v>56.93</v>
      </c>
      <c r="H27">
        <v>266.13</v>
      </c>
      <c r="I27">
        <v>2730.03</v>
      </c>
      <c r="J27">
        <v>25</v>
      </c>
      <c r="K27">
        <v>60</v>
      </c>
      <c r="L27">
        <v>1200</v>
      </c>
      <c r="M27">
        <v>5000</v>
      </c>
      <c r="N27" s="4">
        <v>23</v>
      </c>
      <c r="O27">
        <v>62</v>
      </c>
      <c r="P27">
        <v>1500</v>
      </c>
      <c r="Q27">
        <v>4800</v>
      </c>
      <c r="R27">
        <f t="shared" si="8"/>
        <v>21.849999999999998</v>
      </c>
      <c r="S27">
        <f t="shared" si="9"/>
        <v>58.9</v>
      </c>
      <c r="T27">
        <f t="shared" si="10"/>
        <v>1425</v>
      </c>
      <c r="U27">
        <f t="shared" si="11"/>
        <v>4560</v>
      </c>
    </row>
    <row r="28" spans="1:21" x14ac:dyDescent="0.2">
      <c r="A28" s="2">
        <v>44315</v>
      </c>
      <c r="B28" s="3">
        <v>0.58333333333333337</v>
      </c>
      <c r="C28" s="8" t="str">
        <f t="shared" si="1"/>
        <v>2021-04-29</v>
      </c>
      <c r="D28" s="11" t="str">
        <f t="shared" si="2"/>
        <v>14:00:00</v>
      </c>
      <c r="E28" s="7" t="str">
        <f t="shared" si="3"/>
        <v>2021-04-29 14:00:00</v>
      </c>
      <c r="F28">
        <v>27.31</v>
      </c>
      <c r="G28">
        <v>55.93</v>
      </c>
      <c r="H28">
        <v>277.35000000000002</v>
      </c>
      <c r="I28">
        <v>2727.25</v>
      </c>
      <c r="J28">
        <v>25</v>
      </c>
      <c r="K28">
        <v>60</v>
      </c>
      <c r="L28">
        <v>1200</v>
      </c>
      <c r="M28">
        <v>5000</v>
      </c>
      <c r="N28" s="4">
        <v>23.5</v>
      </c>
      <c r="O28">
        <v>62</v>
      </c>
      <c r="P28">
        <v>1500</v>
      </c>
      <c r="Q28">
        <v>4800</v>
      </c>
      <c r="R28">
        <f t="shared" si="8"/>
        <v>22.324999999999999</v>
      </c>
      <c r="S28">
        <f t="shared" si="9"/>
        <v>58.9</v>
      </c>
      <c r="T28">
        <f t="shared" si="10"/>
        <v>1425</v>
      </c>
      <c r="U28">
        <f t="shared" si="11"/>
        <v>4560</v>
      </c>
    </row>
    <row r="29" spans="1:21" x14ac:dyDescent="0.2">
      <c r="A29" s="2">
        <v>44315</v>
      </c>
      <c r="B29" s="3">
        <v>0.625</v>
      </c>
      <c r="C29" s="8" t="str">
        <f t="shared" si="1"/>
        <v>2021-04-29</v>
      </c>
      <c r="D29" s="11" t="str">
        <f t="shared" si="2"/>
        <v>15:00:00</v>
      </c>
      <c r="E29" s="7" t="str">
        <f t="shared" si="3"/>
        <v>2021-04-29 15:00:00</v>
      </c>
      <c r="F29">
        <v>27.75</v>
      </c>
      <c r="G29">
        <v>54.91</v>
      </c>
      <c r="H29">
        <v>279.35000000000002</v>
      </c>
      <c r="I29">
        <v>2727.42</v>
      </c>
      <c r="J29">
        <v>25</v>
      </c>
      <c r="K29">
        <v>60</v>
      </c>
      <c r="L29">
        <v>1200</v>
      </c>
      <c r="M29">
        <v>5000</v>
      </c>
      <c r="N29" s="4">
        <v>23</v>
      </c>
      <c r="O29">
        <v>62</v>
      </c>
      <c r="P29">
        <v>1500</v>
      </c>
      <c r="Q29">
        <v>4800</v>
      </c>
      <c r="R29">
        <f t="shared" si="8"/>
        <v>21.849999999999998</v>
      </c>
      <c r="S29">
        <f t="shared" si="9"/>
        <v>58.9</v>
      </c>
      <c r="T29">
        <f t="shared" si="10"/>
        <v>1425</v>
      </c>
      <c r="U29">
        <f t="shared" si="11"/>
        <v>4560</v>
      </c>
    </row>
    <row r="30" spans="1:21" x14ac:dyDescent="0.2">
      <c r="A30" s="2">
        <v>44315</v>
      </c>
      <c r="B30" s="3">
        <v>0.66666666666666663</v>
      </c>
      <c r="C30" s="8" t="str">
        <f t="shared" si="1"/>
        <v>2021-04-29</v>
      </c>
      <c r="D30" s="11" t="str">
        <f t="shared" si="2"/>
        <v>16:00:00</v>
      </c>
      <c r="E30" s="7" t="str">
        <f t="shared" si="3"/>
        <v>2021-04-29 16:00:00</v>
      </c>
      <c r="F30">
        <v>27</v>
      </c>
      <c r="G30">
        <v>58.35</v>
      </c>
      <c r="H30">
        <v>295.86</v>
      </c>
      <c r="I30">
        <v>2736.74</v>
      </c>
      <c r="J30">
        <v>25</v>
      </c>
      <c r="K30">
        <v>60</v>
      </c>
      <c r="L30">
        <v>1200</v>
      </c>
      <c r="M30">
        <v>5000</v>
      </c>
      <c r="N30" s="4">
        <v>23.5</v>
      </c>
      <c r="O30">
        <v>62</v>
      </c>
      <c r="P30">
        <v>1500</v>
      </c>
      <c r="Q30">
        <v>4800</v>
      </c>
      <c r="R30">
        <f t="shared" si="8"/>
        <v>22.324999999999999</v>
      </c>
      <c r="S30">
        <f t="shared" si="9"/>
        <v>58.9</v>
      </c>
      <c r="T30">
        <f t="shared" si="10"/>
        <v>1425</v>
      </c>
      <c r="U30">
        <f t="shared" si="11"/>
        <v>4560</v>
      </c>
    </row>
    <row r="31" spans="1:21" x14ac:dyDescent="0.2">
      <c r="A31" s="2">
        <v>44315</v>
      </c>
      <c r="B31" s="3">
        <v>0.70833333333333337</v>
      </c>
      <c r="C31" s="8" t="str">
        <f t="shared" si="1"/>
        <v>2021-04-29</v>
      </c>
      <c r="D31" s="11" t="str">
        <f t="shared" si="2"/>
        <v>17:00:00</v>
      </c>
      <c r="E31" s="7" t="str">
        <f t="shared" si="3"/>
        <v>2021-04-29 17:00:00</v>
      </c>
      <c r="F31">
        <v>26.92</v>
      </c>
      <c r="G31">
        <v>58.61</v>
      </c>
      <c r="H31">
        <v>304.97000000000003</v>
      </c>
      <c r="I31">
        <v>2739.08</v>
      </c>
      <c r="J31">
        <v>25</v>
      </c>
      <c r="K31">
        <v>60</v>
      </c>
      <c r="L31">
        <v>1200</v>
      </c>
      <c r="M31">
        <v>5000</v>
      </c>
      <c r="N31" s="4">
        <v>23</v>
      </c>
      <c r="O31">
        <v>62</v>
      </c>
      <c r="P31">
        <v>1500</v>
      </c>
      <c r="Q31">
        <v>4800</v>
      </c>
      <c r="R31">
        <f t="shared" si="8"/>
        <v>21.849999999999998</v>
      </c>
      <c r="S31">
        <f t="shared" si="9"/>
        <v>58.9</v>
      </c>
      <c r="T31">
        <f t="shared" si="10"/>
        <v>1425</v>
      </c>
      <c r="U31">
        <f t="shared" si="11"/>
        <v>4560</v>
      </c>
    </row>
    <row r="32" spans="1:21" x14ac:dyDescent="0.2">
      <c r="A32" s="2">
        <v>44315</v>
      </c>
      <c r="B32" s="3">
        <v>0.75</v>
      </c>
      <c r="C32" s="8" t="str">
        <f t="shared" si="1"/>
        <v>2021-04-29</v>
      </c>
      <c r="D32" s="11" t="str">
        <f t="shared" si="2"/>
        <v>18:00:00</v>
      </c>
      <c r="E32" s="7" t="str">
        <f t="shared" si="3"/>
        <v>2021-04-29 18:00:00</v>
      </c>
      <c r="F32">
        <v>26.15</v>
      </c>
      <c r="G32">
        <v>58.27</v>
      </c>
      <c r="H32">
        <v>301.43</v>
      </c>
      <c r="I32">
        <v>1595.82</v>
      </c>
      <c r="J32">
        <v>18</v>
      </c>
      <c r="K32">
        <v>60</v>
      </c>
      <c r="L32">
        <v>1200</v>
      </c>
      <c r="M32">
        <v>5000</v>
      </c>
      <c r="N32" s="4">
        <v>17.5</v>
      </c>
      <c r="O32">
        <v>62</v>
      </c>
      <c r="P32">
        <v>1500</v>
      </c>
      <c r="Q32">
        <v>4800</v>
      </c>
      <c r="R32">
        <f t="shared" si="8"/>
        <v>16.625</v>
      </c>
      <c r="S32">
        <f t="shared" si="9"/>
        <v>58.9</v>
      </c>
      <c r="T32">
        <f t="shared" si="10"/>
        <v>1425</v>
      </c>
      <c r="U32">
        <f t="shared" si="11"/>
        <v>4560</v>
      </c>
    </row>
    <row r="33" spans="1:21" x14ac:dyDescent="0.2">
      <c r="A33" s="2">
        <v>44315</v>
      </c>
      <c r="B33" s="3">
        <v>0.79166666666666663</v>
      </c>
      <c r="C33" s="8" t="str">
        <f t="shared" si="1"/>
        <v>2021-04-29</v>
      </c>
      <c r="D33" s="11" t="str">
        <f t="shared" si="2"/>
        <v>19:00:00</v>
      </c>
      <c r="E33" s="7" t="str">
        <f t="shared" si="3"/>
        <v>2021-04-29 19:00:00</v>
      </c>
      <c r="F33">
        <v>23.38</v>
      </c>
      <c r="G33">
        <v>61.23</v>
      </c>
      <c r="H33">
        <v>296.7</v>
      </c>
      <c r="I33">
        <v>4.17</v>
      </c>
      <c r="J33">
        <v>12</v>
      </c>
      <c r="K33">
        <v>70</v>
      </c>
      <c r="L33">
        <v>500</v>
      </c>
      <c r="M33">
        <v>2500</v>
      </c>
      <c r="N33" s="4">
        <v>10</v>
      </c>
      <c r="O33">
        <v>72</v>
      </c>
      <c r="P33">
        <v>800</v>
      </c>
      <c r="Q33">
        <v>2400</v>
      </c>
      <c r="R33">
        <f t="shared" si="8"/>
        <v>9.5</v>
      </c>
      <c r="S33">
        <f t="shared" si="9"/>
        <v>68.399999999999991</v>
      </c>
      <c r="T33">
        <f t="shared" si="10"/>
        <v>760</v>
      </c>
      <c r="U33">
        <f t="shared" si="11"/>
        <v>2280</v>
      </c>
    </row>
    <row r="34" spans="1:21" x14ac:dyDescent="0.2">
      <c r="A34" s="2">
        <v>44315</v>
      </c>
      <c r="B34" s="3">
        <v>0.83333333333333337</v>
      </c>
      <c r="C34" s="8" t="str">
        <f t="shared" si="1"/>
        <v>2021-04-29</v>
      </c>
      <c r="D34" s="11" t="str">
        <f t="shared" si="2"/>
        <v>20:00:00</v>
      </c>
      <c r="E34" s="7" t="str">
        <f t="shared" si="3"/>
        <v>2021-04-29 20:00:00</v>
      </c>
      <c r="F34">
        <v>22.06</v>
      </c>
      <c r="G34">
        <v>62.18</v>
      </c>
      <c r="H34">
        <v>298.67</v>
      </c>
      <c r="I34">
        <v>4.17</v>
      </c>
      <c r="J34">
        <v>12</v>
      </c>
      <c r="K34">
        <v>70</v>
      </c>
      <c r="L34">
        <v>500</v>
      </c>
      <c r="M34">
        <v>4.17</v>
      </c>
      <c r="N34" s="4">
        <v>10</v>
      </c>
      <c r="O34">
        <v>72</v>
      </c>
      <c r="P34">
        <v>800</v>
      </c>
      <c r="Q34">
        <v>0</v>
      </c>
      <c r="R34">
        <f t="shared" si="8"/>
        <v>9.5</v>
      </c>
      <c r="S34">
        <f t="shared" si="9"/>
        <v>68.399999999999991</v>
      </c>
      <c r="T34">
        <f t="shared" si="10"/>
        <v>760</v>
      </c>
      <c r="U34">
        <f t="shared" si="11"/>
        <v>0</v>
      </c>
    </row>
    <row r="35" spans="1:21" x14ac:dyDescent="0.2">
      <c r="A35" s="2">
        <v>44315</v>
      </c>
      <c r="B35" s="3">
        <v>0.875</v>
      </c>
      <c r="C35" s="8" t="str">
        <f t="shared" si="1"/>
        <v>2021-04-29</v>
      </c>
      <c r="D35" s="11" t="str">
        <f t="shared" si="2"/>
        <v>21:00:00</v>
      </c>
      <c r="E35" s="7" t="str">
        <f t="shared" si="3"/>
        <v>2021-04-29 21:00:00</v>
      </c>
      <c r="F35">
        <v>21.3</v>
      </c>
      <c r="G35">
        <v>63.38</v>
      </c>
      <c r="H35">
        <v>291.72000000000003</v>
      </c>
      <c r="I35">
        <v>4.17</v>
      </c>
      <c r="J35">
        <v>12</v>
      </c>
      <c r="K35">
        <v>70</v>
      </c>
      <c r="L35">
        <v>500</v>
      </c>
      <c r="M35">
        <v>4.17</v>
      </c>
      <c r="N35" s="4">
        <v>10</v>
      </c>
      <c r="O35">
        <v>72</v>
      </c>
      <c r="P35">
        <v>800</v>
      </c>
      <c r="Q35">
        <v>0</v>
      </c>
      <c r="R35">
        <f t="shared" si="8"/>
        <v>9.5</v>
      </c>
      <c r="S35">
        <f t="shared" si="9"/>
        <v>68.399999999999991</v>
      </c>
      <c r="T35">
        <f t="shared" si="10"/>
        <v>760</v>
      </c>
      <c r="U35">
        <f t="shared" si="11"/>
        <v>0</v>
      </c>
    </row>
    <row r="36" spans="1:21" x14ac:dyDescent="0.2">
      <c r="A36" s="2">
        <v>44315</v>
      </c>
      <c r="B36" s="3">
        <v>0.91666666666666663</v>
      </c>
      <c r="C36" s="8" t="str">
        <f t="shared" si="1"/>
        <v>2021-04-29</v>
      </c>
      <c r="D36" s="11" t="str">
        <f t="shared" si="2"/>
        <v>22:00:00</v>
      </c>
      <c r="E36" s="7" t="str">
        <f t="shared" si="3"/>
        <v>2021-04-29 22:00:00</v>
      </c>
      <c r="F36">
        <v>20.71</v>
      </c>
      <c r="G36">
        <v>64.209999999999994</v>
      </c>
      <c r="H36">
        <v>293.45999999999998</v>
      </c>
      <c r="I36">
        <v>4.17</v>
      </c>
      <c r="J36">
        <v>12</v>
      </c>
      <c r="K36">
        <v>70</v>
      </c>
      <c r="L36">
        <v>500</v>
      </c>
      <c r="M36">
        <v>4.17</v>
      </c>
      <c r="N36" s="4">
        <v>10</v>
      </c>
      <c r="O36">
        <v>72</v>
      </c>
      <c r="P36">
        <v>800</v>
      </c>
      <c r="Q36">
        <v>0</v>
      </c>
      <c r="R36">
        <f t="shared" si="8"/>
        <v>9.5</v>
      </c>
      <c r="S36">
        <f t="shared" si="9"/>
        <v>68.399999999999991</v>
      </c>
      <c r="T36">
        <f t="shared" si="10"/>
        <v>760</v>
      </c>
      <c r="U36">
        <f t="shared" si="11"/>
        <v>0</v>
      </c>
    </row>
    <row r="37" spans="1:21" x14ac:dyDescent="0.2">
      <c r="A37" s="2">
        <v>44315</v>
      </c>
      <c r="B37" s="3">
        <v>0.95833333333333337</v>
      </c>
      <c r="C37" s="8" t="str">
        <f t="shared" si="1"/>
        <v>2021-04-29</v>
      </c>
      <c r="D37" s="11" t="str">
        <f t="shared" si="2"/>
        <v>23:00:00</v>
      </c>
      <c r="E37" s="7" t="str">
        <f t="shared" si="3"/>
        <v>2021-04-29 23:00:00</v>
      </c>
      <c r="F37">
        <v>20.329999999999998</v>
      </c>
      <c r="G37">
        <v>64.349999999999994</v>
      </c>
      <c r="H37">
        <v>298.45999999999998</v>
      </c>
      <c r="I37">
        <v>2.76</v>
      </c>
      <c r="J37">
        <v>12</v>
      </c>
      <c r="K37">
        <v>70</v>
      </c>
      <c r="L37">
        <v>500</v>
      </c>
      <c r="M37">
        <v>2.76</v>
      </c>
      <c r="N37" s="4">
        <v>10</v>
      </c>
      <c r="O37">
        <v>72</v>
      </c>
      <c r="P37">
        <v>800</v>
      </c>
      <c r="Q37">
        <v>0</v>
      </c>
      <c r="R37">
        <f t="shared" si="8"/>
        <v>9.5</v>
      </c>
      <c r="S37">
        <f t="shared" si="9"/>
        <v>68.399999999999991</v>
      </c>
      <c r="T37">
        <f t="shared" si="10"/>
        <v>760</v>
      </c>
      <c r="U37">
        <f t="shared" si="11"/>
        <v>0</v>
      </c>
    </row>
    <row r="38" spans="1:21" x14ac:dyDescent="0.2">
      <c r="A38" s="2">
        <v>44316</v>
      </c>
      <c r="B38" s="3">
        <v>0</v>
      </c>
      <c r="C38" s="8" t="str">
        <f t="shared" si="1"/>
        <v>2021-04-30</v>
      </c>
      <c r="D38" s="11" t="str">
        <f t="shared" si="2"/>
        <v>00:00:00</v>
      </c>
      <c r="E38" s="7" t="str">
        <f t="shared" si="3"/>
        <v>2021-04-30 00:00:00</v>
      </c>
      <c r="F38">
        <v>20.04</v>
      </c>
      <c r="G38">
        <v>66.38</v>
      </c>
      <c r="H38">
        <v>296.88</v>
      </c>
      <c r="I38">
        <v>0</v>
      </c>
      <c r="J38">
        <v>12</v>
      </c>
      <c r="K38">
        <v>70</v>
      </c>
      <c r="L38">
        <v>500</v>
      </c>
      <c r="M38">
        <v>0</v>
      </c>
      <c r="N38" s="4">
        <v>10</v>
      </c>
      <c r="O38">
        <v>72</v>
      </c>
      <c r="P38">
        <v>800</v>
      </c>
      <c r="Q38">
        <v>0</v>
      </c>
      <c r="R38">
        <f t="shared" si="8"/>
        <v>9.5</v>
      </c>
      <c r="S38">
        <f t="shared" si="9"/>
        <v>68.399999999999991</v>
      </c>
      <c r="T38">
        <f t="shared" si="10"/>
        <v>760</v>
      </c>
      <c r="U38">
        <f t="shared" si="11"/>
        <v>0</v>
      </c>
    </row>
    <row r="39" spans="1:21" x14ac:dyDescent="0.2">
      <c r="A39" s="2">
        <v>44316</v>
      </c>
      <c r="B39" s="3">
        <v>4.1666666666666664E-2</v>
      </c>
      <c r="C39" s="8" t="str">
        <f t="shared" si="1"/>
        <v>2021-04-30</v>
      </c>
      <c r="D39" s="11" t="str">
        <f t="shared" si="2"/>
        <v>01:00:00</v>
      </c>
      <c r="E39" s="7" t="str">
        <f t="shared" si="3"/>
        <v>2021-04-30 01:00:00</v>
      </c>
      <c r="F39">
        <v>19.7</v>
      </c>
      <c r="G39">
        <v>65.47</v>
      </c>
      <c r="H39">
        <v>301.67</v>
      </c>
      <c r="I39">
        <v>0</v>
      </c>
      <c r="J39">
        <v>12</v>
      </c>
      <c r="K39">
        <v>70</v>
      </c>
      <c r="L39">
        <v>500</v>
      </c>
      <c r="M39">
        <v>0</v>
      </c>
      <c r="N39" s="4">
        <v>10</v>
      </c>
      <c r="O39">
        <v>72</v>
      </c>
      <c r="P39">
        <v>800</v>
      </c>
      <c r="Q39">
        <v>0</v>
      </c>
      <c r="R39">
        <f t="shared" si="8"/>
        <v>9.5</v>
      </c>
      <c r="S39">
        <f t="shared" si="9"/>
        <v>68.399999999999991</v>
      </c>
      <c r="T39">
        <f t="shared" si="10"/>
        <v>760</v>
      </c>
      <c r="U39">
        <f t="shared" si="11"/>
        <v>0</v>
      </c>
    </row>
    <row r="40" spans="1:21" x14ac:dyDescent="0.2">
      <c r="A40" s="2">
        <v>44316</v>
      </c>
      <c r="B40" s="3">
        <v>8.3333333333333329E-2</v>
      </c>
      <c r="C40" s="8" t="str">
        <f t="shared" si="1"/>
        <v>2021-04-30</v>
      </c>
      <c r="D40" s="11" t="str">
        <f t="shared" si="2"/>
        <v>02:00:00</v>
      </c>
      <c r="E40" s="7" t="str">
        <f t="shared" si="3"/>
        <v>2021-04-30 02:00:00</v>
      </c>
      <c r="F40">
        <v>19.28</v>
      </c>
      <c r="G40">
        <v>65.760000000000005</v>
      </c>
      <c r="H40">
        <v>308.77999999999997</v>
      </c>
      <c r="I40">
        <v>0</v>
      </c>
      <c r="J40">
        <v>12</v>
      </c>
      <c r="K40">
        <v>70</v>
      </c>
      <c r="L40">
        <v>500</v>
      </c>
      <c r="M40">
        <v>0</v>
      </c>
      <c r="N40" s="4">
        <v>10</v>
      </c>
      <c r="O40">
        <v>72</v>
      </c>
      <c r="P40">
        <v>800</v>
      </c>
      <c r="Q40">
        <v>0</v>
      </c>
      <c r="R40">
        <f t="shared" si="8"/>
        <v>9.5</v>
      </c>
      <c r="S40">
        <f t="shared" si="9"/>
        <v>68.399999999999991</v>
      </c>
      <c r="T40">
        <f t="shared" si="10"/>
        <v>760</v>
      </c>
      <c r="U40">
        <f t="shared" si="11"/>
        <v>0</v>
      </c>
    </row>
    <row r="41" spans="1:21" x14ac:dyDescent="0.2">
      <c r="A41" s="2">
        <v>44316</v>
      </c>
      <c r="B41" s="3">
        <v>0.125</v>
      </c>
      <c r="C41" s="8" t="str">
        <f t="shared" si="1"/>
        <v>2021-04-30</v>
      </c>
      <c r="D41" s="11" t="str">
        <f t="shared" si="2"/>
        <v>03:00:00</v>
      </c>
      <c r="E41" s="7" t="str">
        <f t="shared" si="3"/>
        <v>2021-04-30 03:00:00</v>
      </c>
      <c r="F41">
        <v>18.97</v>
      </c>
      <c r="G41">
        <v>66.23</v>
      </c>
      <c r="H41">
        <v>304.74</v>
      </c>
      <c r="I41">
        <v>0</v>
      </c>
      <c r="J41">
        <v>12</v>
      </c>
      <c r="K41">
        <v>70</v>
      </c>
      <c r="L41">
        <v>500</v>
      </c>
      <c r="M41">
        <v>0</v>
      </c>
      <c r="N41" s="4">
        <v>10</v>
      </c>
      <c r="O41">
        <v>72</v>
      </c>
      <c r="P41">
        <v>800</v>
      </c>
      <c r="Q41">
        <v>0</v>
      </c>
      <c r="R41">
        <f t="shared" si="8"/>
        <v>9.5</v>
      </c>
      <c r="S41">
        <f t="shared" si="9"/>
        <v>68.399999999999991</v>
      </c>
      <c r="T41">
        <f t="shared" si="10"/>
        <v>760</v>
      </c>
      <c r="U41">
        <f t="shared" si="11"/>
        <v>0</v>
      </c>
    </row>
    <row r="42" spans="1:21" x14ac:dyDescent="0.2">
      <c r="A42" s="2">
        <v>44316</v>
      </c>
      <c r="B42" s="3">
        <v>0.16666666666666666</v>
      </c>
      <c r="C42" s="8" t="str">
        <f t="shared" si="1"/>
        <v>2021-04-30</v>
      </c>
      <c r="D42" s="11" t="str">
        <f t="shared" si="2"/>
        <v>04:00:00</v>
      </c>
      <c r="E42" s="7" t="str">
        <f t="shared" si="3"/>
        <v>2021-04-30 04:00:00</v>
      </c>
      <c r="F42">
        <v>18.88</v>
      </c>
      <c r="G42">
        <v>67.38</v>
      </c>
      <c r="H42">
        <v>298.62</v>
      </c>
      <c r="I42">
        <v>0</v>
      </c>
      <c r="J42">
        <v>12</v>
      </c>
      <c r="K42">
        <v>70</v>
      </c>
      <c r="L42">
        <v>500</v>
      </c>
      <c r="M42">
        <v>0</v>
      </c>
      <c r="N42" s="4">
        <v>10</v>
      </c>
      <c r="O42">
        <v>72</v>
      </c>
      <c r="P42">
        <v>800</v>
      </c>
      <c r="Q42">
        <v>0</v>
      </c>
      <c r="R42">
        <f t="shared" si="8"/>
        <v>9.5</v>
      </c>
      <c r="S42">
        <f t="shared" si="9"/>
        <v>68.399999999999991</v>
      </c>
      <c r="T42">
        <f t="shared" si="10"/>
        <v>760</v>
      </c>
      <c r="U42">
        <f t="shared" si="11"/>
        <v>0</v>
      </c>
    </row>
    <row r="43" spans="1:21" x14ac:dyDescent="0.2">
      <c r="A43" s="2">
        <v>44316</v>
      </c>
      <c r="B43" s="3">
        <v>0.20833333333333334</v>
      </c>
      <c r="C43" s="8" t="str">
        <f t="shared" si="1"/>
        <v>2021-04-30</v>
      </c>
      <c r="D43" s="11" t="str">
        <f t="shared" si="2"/>
        <v>05:00:00</v>
      </c>
      <c r="E43" s="7" t="str">
        <f t="shared" si="3"/>
        <v>2021-04-30 05:00:00</v>
      </c>
      <c r="F43">
        <v>18.77</v>
      </c>
      <c r="G43">
        <v>67.7</v>
      </c>
      <c r="H43">
        <v>304.55</v>
      </c>
      <c r="I43">
        <v>0</v>
      </c>
      <c r="J43">
        <v>12</v>
      </c>
      <c r="K43">
        <v>70</v>
      </c>
      <c r="L43">
        <v>500</v>
      </c>
      <c r="M43">
        <v>0</v>
      </c>
      <c r="N43" s="4">
        <v>10</v>
      </c>
      <c r="O43">
        <v>72</v>
      </c>
      <c r="P43">
        <v>800</v>
      </c>
      <c r="Q43">
        <v>0</v>
      </c>
      <c r="R43">
        <f t="shared" si="8"/>
        <v>9.5</v>
      </c>
      <c r="S43">
        <f t="shared" si="9"/>
        <v>68.399999999999991</v>
      </c>
      <c r="T43">
        <f t="shared" si="10"/>
        <v>760</v>
      </c>
      <c r="U43">
        <f t="shared" si="11"/>
        <v>0</v>
      </c>
    </row>
    <row r="44" spans="1:21" x14ac:dyDescent="0.2">
      <c r="A44" s="2">
        <v>44316</v>
      </c>
      <c r="B44" s="3">
        <v>0.25</v>
      </c>
      <c r="C44" s="8" t="str">
        <f t="shared" si="1"/>
        <v>2021-04-30</v>
      </c>
      <c r="D44" s="11" t="str">
        <f t="shared" si="2"/>
        <v>06:00:00</v>
      </c>
      <c r="E44" s="7" t="str">
        <f t="shared" si="3"/>
        <v>2021-04-30 06:00:00</v>
      </c>
      <c r="F44">
        <v>18.59</v>
      </c>
      <c r="G44">
        <v>68.23</v>
      </c>
      <c r="H44">
        <v>306.91000000000003</v>
      </c>
      <c r="I44">
        <v>0</v>
      </c>
      <c r="J44">
        <v>18</v>
      </c>
      <c r="K44">
        <v>70</v>
      </c>
      <c r="L44">
        <v>500</v>
      </c>
      <c r="M44">
        <v>2500</v>
      </c>
      <c r="N44" s="4">
        <v>17.5</v>
      </c>
      <c r="O44">
        <v>72</v>
      </c>
      <c r="P44">
        <v>800</v>
      </c>
      <c r="Q44">
        <v>2400</v>
      </c>
      <c r="R44">
        <f t="shared" si="8"/>
        <v>16.625</v>
      </c>
      <c r="S44">
        <f t="shared" si="9"/>
        <v>68.399999999999991</v>
      </c>
      <c r="T44">
        <f t="shared" si="10"/>
        <v>760</v>
      </c>
      <c r="U44">
        <f t="shared" si="11"/>
        <v>2280</v>
      </c>
    </row>
    <row r="45" spans="1:21" x14ac:dyDescent="0.2">
      <c r="A45" s="2">
        <v>44316</v>
      </c>
      <c r="B45" s="3">
        <v>0.29166666666666669</v>
      </c>
      <c r="C45" s="8" t="str">
        <f t="shared" si="1"/>
        <v>2021-04-30</v>
      </c>
      <c r="D45" s="11" t="str">
        <f t="shared" si="2"/>
        <v>07:00:00</v>
      </c>
      <c r="E45" s="7" t="str">
        <f t="shared" si="3"/>
        <v>2021-04-30 07:00:00</v>
      </c>
      <c r="F45">
        <v>18.440000000000001</v>
      </c>
      <c r="G45">
        <v>68.84</v>
      </c>
      <c r="H45">
        <v>306.14999999999998</v>
      </c>
      <c r="I45">
        <v>2.2599999999999998</v>
      </c>
      <c r="J45">
        <v>25</v>
      </c>
      <c r="K45">
        <v>60</v>
      </c>
      <c r="L45">
        <v>1200</v>
      </c>
      <c r="M45">
        <v>5000</v>
      </c>
      <c r="N45" s="4">
        <v>23.5</v>
      </c>
      <c r="O45">
        <v>62</v>
      </c>
      <c r="P45">
        <v>1500</v>
      </c>
      <c r="Q45">
        <v>4800</v>
      </c>
      <c r="R45">
        <f t="shared" si="8"/>
        <v>22.324999999999999</v>
      </c>
      <c r="S45">
        <f t="shared" si="9"/>
        <v>58.9</v>
      </c>
      <c r="T45">
        <f t="shared" si="10"/>
        <v>1425</v>
      </c>
      <c r="U45">
        <f t="shared" si="11"/>
        <v>4560</v>
      </c>
    </row>
    <row r="46" spans="1:21" x14ac:dyDescent="0.2">
      <c r="A46" s="2">
        <v>44316</v>
      </c>
      <c r="B46" s="3">
        <v>0.33333333333333331</v>
      </c>
      <c r="C46" s="8" t="str">
        <f t="shared" si="1"/>
        <v>2021-04-30</v>
      </c>
      <c r="D46" s="11" t="str">
        <f t="shared" si="2"/>
        <v>08:00:00</v>
      </c>
      <c r="E46" s="7" t="str">
        <f t="shared" si="3"/>
        <v>2021-04-30 08:00:00</v>
      </c>
      <c r="F46">
        <v>19.28</v>
      </c>
      <c r="G46">
        <v>68.83</v>
      </c>
      <c r="H46">
        <v>305.38</v>
      </c>
      <c r="I46">
        <v>1373.44</v>
      </c>
      <c r="J46">
        <v>25</v>
      </c>
      <c r="K46">
        <v>60</v>
      </c>
      <c r="L46">
        <v>1200</v>
      </c>
      <c r="M46">
        <v>5000</v>
      </c>
      <c r="N46" s="4">
        <v>23</v>
      </c>
      <c r="O46">
        <v>62</v>
      </c>
      <c r="P46">
        <v>1500</v>
      </c>
      <c r="Q46">
        <v>4800</v>
      </c>
      <c r="R46">
        <f t="shared" si="8"/>
        <v>21.849999999999998</v>
      </c>
      <c r="S46">
        <f t="shared" si="9"/>
        <v>58.9</v>
      </c>
      <c r="T46">
        <f t="shared" si="10"/>
        <v>1425</v>
      </c>
      <c r="U46">
        <f t="shared" si="11"/>
        <v>4560</v>
      </c>
    </row>
    <row r="47" spans="1:21" x14ac:dyDescent="0.2">
      <c r="A47" s="2">
        <v>44316</v>
      </c>
      <c r="B47" s="3">
        <v>0.375</v>
      </c>
      <c r="C47" s="8" t="str">
        <f t="shared" si="1"/>
        <v>2021-04-30</v>
      </c>
      <c r="D47" s="11" t="str">
        <f t="shared" si="2"/>
        <v>09:00:00</v>
      </c>
      <c r="E47" s="7" t="str">
        <f t="shared" si="3"/>
        <v>2021-04-30 09:00:00</v>
      </c>
      <c r="F47">
        <v>21.92</v>
      </c>
      <c r="G47">
        <v>63.67</v>
      </c>
      <c r="H47">
        <v>302.18</v>
      </c>
      <c r="I47">
        <v>2756.87</v>
      </c>
      <c r="J47">
        <v>25</v>
      </c>
      <c r="K47">
        <v>60</v>
      </c>
      <c r="L47">
        <v>1200</v>
      </c>
      <c r="M47">
        <v>5000</v>
      </c>
      <c r="N47" s="4">
        <v>23.5</v>
      </c>
      <c r="O47">
        <v>62</v>
      </c>
      <c r="P47">
        <v>1500</v>
      </c>
      <c r="Q47">
        <v>4800</v>
      </c>
      <c r="R47">
        <f t="shared" si="8"/>
        <v>22.324999999999999</v>
      </c>
      <c r="S47">
        <f t="shared" si="9"/>
        <v>58.9</v>
      </c>
      <c r="T47">
        <f t="shared" si="10"/>
        <v>1425</v>
      </c>
      <c r="U47">
        <f t="shared" si="11"/>
        <v>4560</v>
      </c>
    </row>
    <row r="48" spans="1:21" x14ac:dyDescent="0.2">
      <c r="A48" s="2">
        <v>44316</v>
      </c>
      <c r="B48" s="3">
        <v>0.41666666666666669</v>
      </c>
      <c r="C48" s="8" t="str">
        <f t="shared" si="1"/>
        <v>2021-04-30</v>
      </c>
      <c r="D48" s="11" t="str">
        <f t="shared" si="2"/>
        <v>10:00:00</v>
      </c>
      <c r="E48" s="7" t="str">
        <f t="shared" si="3"/>
        <v>2021-04-30 10:00:00</v>
      </c>
      <c r="F48">
        <v>23.38</v>
      </c>
      <c r="G48">
        <v>63.16</v>
      </c>
      <c r="H48">
        <v>303.75</v>
      </c>
      <c r="I48">
        <v>2756.88</v>
      </c>
      <c r="J48">
        <v>25</v>
      </c>
      <c r="K48">
        <v>60</v>
      </c>
      <c r="L48">
        <v>1200</v>
      </c>
      <c r="M48">
        <v>5000</v>
      </c>
      <c r="N48" s="4">
        <v>23</v>
      </c>
      <c r="O48">
        <v>62</v>
      </c>
      <c r="P48">
        <v>1500</v>
      </c>
      <c r="Q48">
        <v>4800</v>
      </c>
      <c r="R48">
        <f t="shared" si="8"/>
        <v>21.849999999999998</v>
      </c>
      <c r="S48">
        <f t="shared" si="9"/>
        <v>58.9</v>
      </c>
      <c r="T48">
        <f t="shared" si="10"/>
        <v>1425</v>
      </c>
      <c r="U48">
        <f t="shared" si="11"/>
        <v>4560</v>
      </c>
    </row>
    <row r="49" spans="1:21" x14ac:dyDescent="0.2">
      <c r="A49" s="2">
        <v>44316</v>
      </c>
      <c r="B49" s="3">
        <v>0.45833333333333331</v>
      </c>
      <c r="C49" s="8" t="str">
        <f t="shared" si="1"/>
        <v>2021-04-30</v>
      </c>
      <c r="D49" s="11" t="str">
        <f t="shared" si="2"/>
        <v>11:00:00</v>
      </c>
      <c r="E49" s="7" t="str">
        <f t="shared" si="3"/>
        <v>2021-04-30 11:00:00</v>
      </c>
      <c r="F49">
        <v>23.91</v>
      </c>
      <c r="G49">
        <v>62.32</v>
      </c>
      <c r="H49">
        <v>303.16000000000003</v>
      </c>
      <c r="I49">
        <v>2749.82</v>
      </c>
      <c r="J49">
        <v>25</v>
      </c>
      <c r="K49">
        <v>60</v>
      </c>
      <c r="L49">
        <v>1200</v>
      </c>
      <c r="M49">
        <v>5000</v>
      </c>
      <c r="N49" s="4">
        <v>23.5</v>
      </c>
      <c r="O49">
        <v>62</v>
      </c>
      <c r="P49">
        <v>1500</v>
      </c>
      <c r="Q49">
        <v>4800</v>
      </c>
      <c r="R49">
        <f t="shared" si="8"/>
        <v>22.324999999999999</v>
      </c>
      <c r="S49">
        <f t="shared" si="9"/>
        <v>58.9</v>
      </c>
      <c r="T49">
        <f t="shared" si="10"/>
        <v>1425</v>
      </c>
      <c r="U49">
        <f t="shared" si="11"/>
        <v>4560</v>
      </c>
    </row>
    <row r="50" spans="1:21" x14ac:dyDescent="0.2">
      <c r="A50" s="2">
        <v>44316</v>
      </c>
      <c r="B50" s="3">
        <v>0.5</v>
      </c>
      <c r="C50" s="8" t="str">
        <f t="shared" si="1"/>
        <v>2021-04-30</v>
      </c>
      <c r="D50" s="11" t="str">
        <f t="shared" si="2"/>
        <v>12:00:00</v>
      </c>
      <c r="E50" s="7" t="str">
        <f t="shared" si="3"/>
        <v>2021-04-30 12:00:00</v>
      </c>
      <c r="F50">
        <v>24.48</v>
      </c>
      <c r="G50">
        <v>61.76</v>
      </c>
      <c r="H50">
        <v>297.93</v>
      </c>
      <c r="I50">
        <v>2752.1</v>
      </c>
      <c r="J50">
        <v>25</v>
      </c>
      <c r="K50">
        <v>60</v>
      </c>
      <c r="L50">
        <v>1200</v>
      </c>
      <c r="M50">
        <v>5000</v>
      </c>
      <c r="N50" s="4">
        <v>23.5</v>
      </c>
      <c r="O50">
        <v>62</v>
      </c>
      <c r="P50">
        <v>1500</v>
      </c>
      <c r="Q50">
        <v>4800</v>
      </c>
      <c r="R50">
        <f t="shared" si="8"/>
        <v>22.324999999999999</v>
      </c>
      <c r="S50">
        <f t="shared" si="9"/>
        <v>58.9</v>
      </c>
      <c r="T50">
        <f t="shared" si="10"/>
        <v>1425</v>
      </c>
      <c r="U50">
        <f t="shared" si="11"/>
        <v>4560</v>
      </c>
    </row>
    <row r="51" spans="1:21" x14ac:dyDescent="0.2">
      <c r="A51" s="2">
        <v>44316</v>
      </c>
      <c r="B51" s="3">
        <v>0.54166666666666663</v>
      </c>
      <c r="C51" s="8" t="str">
        <f t="shared" si="1"/>
        <v>2021-04-30</v>
      </c>
      <c r="D51" s="11" t="str">
        <f t="shared" si="2"/>
        <v>13:00:00</v>
      </c>
      <c r="E51" s="7" t="str">
        <f t="shared" si="3"/>
        <v>2021-04-30 13:00:00</v>
      </c>
      <c r="F51">
        <v>25</v>
      </c>
      <c r="G51">
        <v>61.03</v>
      </c>
      <c r="H51">
        <v>290.67</v>
      </c>
      <c r="I51">
        <v>2730.42</v>
      </c>
      <c r="J51">
        <v>25</v>
      </c>
      <c r="K51">
        <v>60</v>
      </c>
      <c r="L51">
        <v>1200</v>
      </c>
      <c r="M51">
        <v>5000</v>
      </c>
      <c r="N51" s="4">
        <v>23</v>
      </c>
      <c r="O51">
        <v>62</v>
      </c>
      <c r="P51">
        <v>1500</v>
      </c>
      <c r="Q51">
        <v>4800</v>
      </c>
      <c r="R51">
        <f t="shared" si="8"/>
        <v>21.849999999999998</v>
      </c>
      <c r="S51">
        <f t="shared" si="9"/>
        <v>58.9</v>
      </c>
      <c r="T51">
        <f t="shared" si="10"/>
        <v>1425</v>
      </c>
      <c r="U51">
        <f t="shared" si="11"/>
        <v>4560</v>
      </c>
    </row>
    <row r="52" spans="1:21" x14ac:dyDescent="0.2">
      <c r="A52" s="2">
        <v>44316</v>
      </c>
      <c r="B52" s="3">
        <v>0.58333333333333337</v>
      </c>
      <c r="C52" s="8" t="str">
        <f t="shared" si="1"/>
        <v>2021-04-30</v>
      </c>
      <c r="D52" s="11" t="str">
        <f t="shared" si="2"/>
        <v>14:00:00</v>
      </c>
      <c r="E52" s="7" t="str">
        <f t="shared" si="3"/>
        <v>2021-04-30 14:00:00</v>
      </c>
      <c r="F52">
        <v>25.16</v>
      </c>
      <c r="G52">
        <v>59.92</v>
      </c>
      <c r="H52">
        <v>301.5</v>
      </c>
      <c r="I52">
        <v>2677.76</v>
      </c>
      <c r="J52">
        <v>25</v>
      </c>
      <c r="K52">
        <v>60</v>
      </c>
      <c r="L52">
        <v>1200</v>
      </c>
      <c r="M52">
        <v>5000</v>
      </c>
      <c r="N52" s="4">
        <v>23.5</v>
      </c>
      <c r="O52">
        <v>62</v>
      </c>
      <c r="P52">
        <v>1500</v>
      </c>
      <c r="Q52">
        <v>4800</v>
      </c>
      <c r="R52">
        <f t="shared" si="8"/>
        <v>22.324999999999999</v>
      </c>
      <c r="S52">
        <f t="shared" si="9"/>
        <v>58.9</v>
      </c>
      <c r="T52">
        <f t="shared" si="10"/>
        <v>1425</v>
      </c>
      <c r="U52">
        <f t="shared" si="11"/>
        <v>4560</v>
      </c>
    </row>
    <row r="53" spans="1:21" x14ac:dyDescent="0.2">
      <c r="A53" s="2">
        <v>44316</v>
      </c>
      <c r="B53" s="3">
        <v>0.625</v>
      </c>
      <c r="C53" s="8" t="str">
        <f t="shared" si="1"/>
        <v>2021-04-30</v>
      </c>
      <c r="D53" s="11" t="str">
        <f t="shared" si="2"/>
        <v>15:00:00</v>
      </c>
      <c r="E53" s="7" t="str">
        <f t="shared" si="3"/>
        <v>2021-04-30 15:00:00</v>
      </c>
      <c r="F53">
        <v>25.25</v>
      </c>
      <c r="G53">
        <v>59.6</v>
      </c>
      <c r="H53">
        <v>310.54000000000002</v>
      </c>
      <c r="I53">
        <v>2674.11</v>
      </c>
      <c r="J53">
        <v>25</v>
      </c>
      <c r="K53">
        <v>60</v>
      </c>
      <c r="L53">
        <v>1200</v>
      </c>
      <c r="M53">
        <v>5000</v>
      </c>
      <c r="N53" s="4">
        <v>23</v>
      </c>
      <c r="O53">
        <v>62</v>
      </c>
      <c r="P53">
        <v>1500</v>
      </c>
      <c r="Q53">
        <v>4800</v>
      </c>
      <c r="R53">
        <f t="shared" si="8"/>
        <v>21.849999999999998</v>
      </c>
      <c r="S53">
        <f t="shared" si="9"/>
        <v>58.9</v>
      </c>
      <c r="T53">
        <f t="shared" si="10"/>
        <v>1425</v>
      </c>
      <c r="U53">
        <f t="shared" si="11"/>
        <v>4560</v>
      </c>
    </row>
    <row r="54" spans="1:21" x14ac:dyDescent="0.2">
      <c r="A54" s="2">
        <v>44316</v>
      </c>
      <c r="B54" s="3">
        <v>0.66666666666666663</v>
      </c>
      <c r="C54" s="8" t="str">
        <f t="shared" si="1"/>
        <v>2021-04-30</v>
      </c>
      <c r="D54" s="11" t="str">
        <f t="shared" si="2"/>
        <v>16:00:00</v>
      </c>
      <c r="E54" s="7" t="str">
        <f t="shared" si="3"/>
        <v>2021-04-30 16:00:00</v>
      </c>
      <c r="F54">
        <v>25.47</v>
      </c>
      <c r="G54">
        <v>60.28</v>
      </c>
      <c r="H54">
        <v>330.73</v>
      </c>
      <c r="I54">
        <v>2668.72</v>
      </c>
      <c r="J54">
        <v>25</v>
      </c>
      <c r="K54">
        <v>60</v>
      </c>
      <c r="L54">
        <v>1200</v>
      </c>
      <c r="M54">
        <v>5000</v>
      </c>
      <c r="N54" s="4">
        <v>23.5</v>
      </c>
      <c r="O54">
        <v>62</v>
      </c>
      <c r="P54">
        <v>1500</v>
      </c>
      <c r="Q54">
        <v>4800</v>
      </c>
      <c r="R54">
        <f t="shared" si="8"/>
        <v>22.324999999999999</v>
      </c>
      <c r="S54">
        <f t="shared" si="9"/>
        <v>58.9</v>
      </c>
      <c r="T54">
        <f t="shared" si="10"/>
        <v>1425</v>
      </c>
      <c r="U54">
        <f t="shared" si="11"/>
        <v>4560</v>
      </c>
    </row>
    <row r="55" spans="1:21" x14ac:dyDescent="0.2">
      <c r="A55" s="2">
        <v>44316</v>
      </c>
      <c r="B55" s="3">
        <v>0.70833333333333337</v>
      </c>
      <c r="C55" s="8" t="str">
        <f t="shared" si="1"/>
        <v>2021-04-30</v>
      </c>
      <c r="D55" s="11" t="str">
        <f t="shared" si="2"/>
        <v>17:00:00</v>
      </c>
      <c r="E55" s="7" t="str">
        <f t="shared" si="3"/>
        <v>2021-04-30 17:00:00</v>
      </c>
      <c r="F55">
        <v>25.33</v>
      </c>
      <c r="G55">
        <v>59.46</v>
      </c>
      <c r="H55">
        <v>334.31</v>
      </c>
      <c r="I55">
        <v>2672.48</v>
      </c>
      <c r="J55">
        <v>25</v>
      </c>
      <c r="K55">
        <v>60</v>
      </c>
      <c r="L55">
        <v>1200</v>
      </c>
      <c r="M55">
        <v>5000</v>
      </c>
      <c r="N55" s="4">
        <v>23</v>
      </c>
      <c r="O55">
        <v>62</v>
      </c>
      <c r="P55">
        <v>1500</v>
      </c>
      <c r="Q55">
        <v>4800</v>
      </c>
      <c r="R55">
        <f t="shared" si="8"/>
        <v>21.849999999999998</v>
      </c>
      <c r="S55">
        <f t="shared" si="9"/>
        <v>58.9</v>
      </c>
      <c r="T55">
        <f t="shared" si="10"/>
        <v>1425</v>
      </c>
      <c r="U55">
        <f t="shared" si="11"/>
        <v>4560</v>
      </c>
    </row>
    <row r="56" spans="1:21" x14ac:dyDescent="0.2">
      <c r="A56" s="2">
        <v>44316</v>
      </c>
      <c r="B56" s="3">
        <v>0.75</v>
      </c>
      <c r="C56" s="8" t="str">
        <f t="shared" si="1"/>
        <v>2021-04-30</v>
      </c>
      <c r="D56" s="11" t="str">
        <f t="shared" si="2"/>
        <v>18:00:00</v>
      </c>
      <c r="E56" s="7" t="str">
        <f t="shared" si="3"/>
        <v>2021-04-30 18:00:00</v>
      </c>
      <c r="F56">
        <v>24.81</v>
      </c>
      <c r="G56">
        <v>59.12</v>
      </c>
      <c r="H56">
        <v>311.91000000000003</v>
      </c>
      <c r="I56">
        <v>1711.32</v>
      </c>
      <c r="J56">
        <v>18</v>
      </c>
      <c r="K56">
        <v>60</v>
      </c>
      <c r="L56">
        <v>1200</v>
      </c>
      <c r="M56">
        <v>5000</v>
      </c>
      <c r="N56" s="4">
        <v>17.5</v>
      </c>
      <c r="O56">
        <v>62</v>
      </c>
      <c r="P56">
        <v>1500</v>
      </c>
      <c r="Q56">
        <v>4800</v>
      </c>
      <c r="R56">
        <f t="shared" si="8"/>
        <v>16.625</v>
      </c>
      <c r="S56">
        <f t="shared" si="9"/>
        <v>58.9</v>
      </c>
      <c r="T56">
        <f t="shared" si="10"/>
        <v>1425</v>
      </c>
      <c r="U56">
        <f t="shared" si="11"/>
        <v>4560</v>
      </c>
    </row>
    <row r="57" spans="1:21" x14ac:dyDescent="0.2">
      <c r="A57" s="2">
        <v>44316</v>
      </c>
      <c r="B57" s="3">
        <v>0.79166666666666663</v>
      </c>
      <c r="C57" s="8" t="str">
        <f t="shared" si="1"/>
        <v>2021-04-30</v>
      </c>
      <c r="D57" s="11" t="str">
        <f t="shared" si="2"/>
        <v>19:00:00</v>
      </c>
      <c r="E57" s="7" t="str">
        <f t="shared" si="3"/>
        <v>2021-04-30 19:00:00</v>
      </c>
      <c r="F57">
        <v>22.78</v>
      </c>
      <c r="G57">
        <v>61.43</v>
      </c>
      <c r="H57">
        <v>303.10000000000002</v>
      </c>
      <c r="I57">
        <v>0</v>
      </c>
      <c r="J57">
        <v>12</v>
      </c>
      <c r="K57">
        <v>70</v>
      </c>
      <c r="L57">
        <v>500</v>
      </c>
      <c r="M57">
        <v>2500</v>
      </c>
      <c r="N57" s="4">
        <v>10</v>
      </c>
      <c r="O57">
        <v>72</v>
      </c>
      <c r="P57">
        <v>800</v>
      </c>
      <c r="Q57">
        <v>2400</v>
      </c>
      <c r="R57">
        <f t="shared" si="8"/>
        <v>9.5</v>
      </c>
      <c r="S57">
        <f t="shared" si="9"/>
        <v>68.399999999999991</v>
      </c>
      <c r="T57">
        <f t="shared" si="10"/>
        <v>760</v>
      </c>
      <c r="U57">
        <f t="shared" si="11"/>
        <v>2280</v>
      </c>
    </row>
    <row r="58" spans="1:21" x14ac:dyDescent="0.2">
      <c r="A58" s="2">
        <v>44316</v>
      </c>
      <c r="B58" s="3">
        <v>0.83333333333333337</v>
      </c>
      <c r="C58" s="8" t="str">
        <f t="shared" si="1"/>
        <v>2021-04-30</v>
      </c>
      <c r="D58" s="11" t="str">
        <f t="shared" si="2"/>
        <v>20:00:00</v>
      </c>
      <c r="E58" s="7" t="str">
        <f t="shared" si="3"/>
        <v>2021-04-30 20:00:00</v>
      </c>
      <c r="F58">
        <v>22.14</v>
      </c>
      <c r="G58">
        <v>60.95</v>
      </c>
      <c r="H58">
        <v>305.92</v>
      </c>
      <c r="I58">
        <v>0</v>
      </c>
      <c r="J58">
        <v>12</v>
      </c>
      <c r="K58">
        <v>70</v>
      </c>
      <c r="L58">
        <v>500</v>
      </c>
      <c r="M58">
        <v>0</v>
      </c>
      <c r="N58" s="4">
        <v>10</v>
      </c>
      <c r="O58">
        <v>72</v>
      </c>
      <c r="P58">
        <v>800</v>
      </c>
      <c r="Q58">
        <v>0</v>
      </c>
      <c r="R58">
        <f t="shared" si="8"/>
        <v>9.5</v>
      </c>
      <c r="S58">
        <f t="shared" si="9"/>
        <v>68.399999999999991</v>
      </c>
      <c r="T58">
        <f t="shared" si="10"/>
        <v>760</v>
      </c>
      <c r="U58">
        <f t="shared" si="11"/>
        <v>0</v>
      </c>
    </row>
    <row r="59" spans="1:21" x14ac:dyDescent="0.2">
      <c r="A59" s="2">
        <v>44316</v>
      </c>
      <c r="B59" s="3">
        <v>0.875</v>
      </c>
      <c r="C59" s="8" t="str">
        <f t="shared" si="1"/>
        <v>2021-04-30</v>
      </c>
      <c r="D59" s="11" t="str">
        <f t="shared" si="2"/>
        <v>21:00:00</v>
      </c>
      <c r="E59" s="7" t="str">
        <f t="shared" si="3"/>
        <v>2021-04-30 21:00:00</v>
      </c>
      <c r="F59">
        <v>21.78</v>
      </c>
      <c r="G59">
        <v>61.93</v>
      </c>
      <c r="H59">
        <v>299.86</v>
      </c>
      <c r="I59">
        <v>0</v>
      </c>
      <c r="J59">
        <v>12</v>
      </c>
      <c r="K59">
        <v>70</v>
      </c>
      <c r="L59">
        <v>500</v>
      </c>
      <c r="M59">
        <v>0</v>
      </c>
      <c r="N59" s="4">
        <v>10</v>
      </c>
      <c r="O59">
        <v>72</v>
      </c>
      <c r="P59">
        <v>800</v>
      </c>
      <c r="Q59">
        <v>0</v>
      </c>
      <c r="R59">
        <f t="shared" si="8"/>
        <v>9.5</v>
      </c>
      <c r="S59">
        <f t="shared" si="9"/>
        <v>68.399999999999991</v>
      </c>
      <c r="T59">
        <f t="shared" si="10"/>
        <v>760</v>
      </c>
      <c r="U59">
        <f t="shared" si="11"/>
        <v>0</v>
      </c>
    </row>
    <row r="60" spans="1:21" x14ac:dyDescent="0.2">
      <c r="A60" s="2">
        <v>44316</v>
      </c>
      <c r="B60" s="3">
        <v>0.91666666666666663</v>
      </c>
      <c r="C60" s="8" t="str">
        <f t="shared" si="1"/>
        <v>2021-04-30</v>
      </c>
      <c r="D60" s="11" t="str">
        <f t="shared" si="2"/>
        <v>22:00:00</v>
      </c>
      <c r="E60" s="7" t="str">
        <f t="shared" si="3"/>
        <v>2021-04-30 22:00:00</v>
      </c>
      <c r="F60">
        <v>21.71</v>
      </c>
      <c r="G60">
        <v>63.33</v>
      </c>
      <c r="H60">
        <v>299.68</v>
      </c>
      <c r="I60">
        <v>0</v>
      </c>
      <c r="J60">
        <v>12</v>
      </c>
      <c r="K60">
        <v>70</v>
      </c>
      <c r="L60">
        <v>500</v>
      </c>
      <c r="M60">
        <v>0</v>
      </c>
      <c r="N60" s="4">
        <v>10</v>
      </c>
      <c r="O60">
        <v>72</v>
      </c>
      <c r="P60">
        <v>800</v>
      </c>
      <c r="Q60">
        <v>0</v>
      </c>
      <c r="R60">
        <f t="shared" si="8"/>
        <v>9.5</v>
      </c>
      <c r="S60">
        <f t="shared" si="9"/>
        <v>68.399999999999991</v>
      </c>
      <c r="T60">
        <f t="shared" si="10"/>
        <v>760</v>
      </c>
      <c r="U60">
        <f t="shared" si="11"/>
        <v>0</v>
      </c>
    </row>
    <row r="61" spans="1:21" x14ac:dyDescent="0.2">
      <c r="A61" s="2">
        <v>44316</v>
      </c>
      <c r="B61" s="3">
        <v>0.95833333333333337</v>
      </c>
      <c r="C61" s="8" t="str">
        <f t="shared" si="1"/>
        <v>2021-04-30</v>
      </c>
      <c r="D61" s="11" t="str">
        <f t="shared" si="2"/>
        <v>23:00:00</v>
      </c>
      <c r="E61" s="7" t="str">
        <f t="shared" si="3"/>
        <v>2021-04-30 23:00:00</v>
      </c>
      <c r="F61">
        <v>21.55</v>
      </c>
      <c r="G61">
        <v>63.93</v>
      </c>
      <c r="H61">
        <v>300.57</v>
      </c>
      <c r="I61">
        <v>0</v>
      </c>
      <c r="J61">
        <v>12</v>
      </c>
      <c r="K61">
        <v>70</v>
      </c>
      <c r="L61">
        <v>500</v>
      </c>
      <c r="M61">
        <v>0</v>
      </c>
      <c r="N61" s="4">
        <v>10</v>
      </c>
      <c r="O61">
        <v>72</v>
      </c>
      <c r="P61">
        <v>800</v>
      </c>
      <c r="Q61">
        <v>0</v>
      </c>
      <c r="R61">
        <f t="shared" si="8"/>
        <v>9.5</v>
      </c>
      <c r="S61">
        <f t="shared" si="9"/>
        <v>68.399999999999991</v>
      </c>
      <c r="T61">
        <f t="shared" si="10"/>
        <v>760</v>
      </c>
      <c r="U61">
        <f t="shared" si="11"/>
        <v>0</v>
      </c>
    </row>
    <row r="62" spans="1:21" x14ac:dyDescent="0.2">
      <c r="A62" s="2">
        <v>44317</v>
      </c>
      <c r="B62" s="3">
        <v>0</v>
      </c>
      <c r="C62" s="8" t="str">
        <f t="shared" si="1"/>
        <v>2021-05-01</v>
      </c>
      <c r="D62" s="11" t="str">
        <f t="shared" si="2"/>
        <v>00:00:00</v>
      </c>
      <c r="E62" s="7" t="str">
        <f t="shared" si="3"/>
        <v>2021-05-01 00:00:00</v>
      </c>
      <c r="F62">
        <v>21.44</v>
      </c>
      <c r="G62">
        <v>65.569999999999993</v>
      </c>
      <c r="H62">
        <v>306.77999999999997</v>
      </c>
      <c r="I62">
        <v>0</v>
      </c>
      <c r="J62">
        <v>12</v>
      </c>
      <c r="K62">
        <v>70</v>
      </c>
      <c r="L62">
        <v>500</v>
      </c>
      <c r="M62">
        <v>0</v>
      </c>
      <c r="N62" s="4">
        <v>10</v>
      </c>
      <c r="O62">
        <v>72</v>
      </c>
      <c r="P62">
        <v>800</v>
      </c>
      <c r="Q62">
        <v>0</v>
      </c>
      <c r="R62">
        <f t="shared" si="8"/>
        <v>9.5</v>
      </c>
      <c r="S62">
        <f t="shared" si="9"/>
        <v>68.399999999999991</v>
      </c>
      <c r="T62">
        <f t="shared" si="10"/>
        <v>760</v>
      </c>
      <c r="U62">
        <f t="shared" si="11"/>
        <v>0</v>
      </c>
    </row>
    <row r="63" spans="1:21" x14ac:dyDescent="0.2">
      <c r="A63" s="2">
        <v>44317</v>
      </c>
      <c r="B63" s="3">
        <v>4.1666666666666664E-2</v>
      </c>
      <c r="C63" s="8" t="str">
        <f t="shared" si="1"/>
        <v>2021-05-01</v>
      </c>
      <c r="D63" s="11" t="str">
        <f t="shared" si="2"/>
        <v>01:00:00</v>
      </c>
      <c r="E63" s="7" t="str">
        <f t="shared" si="3"/>
        <v>2021-05-01 01:00:00</v>
      </c>
      <c r="F63">
        <v>21.28</v>
      </c>
      <c r="G63">
        <v>64.930000000000007</v>
      </c>
      <c r="H63">
        <v>312</v>
      </c>
      <c r="I63">
        <v>0</v>
      </c>
      <c r="J63">
        <v>12</v>
      </c>
      <c r="K63">
        <v>70</v>
      </c>
      <c r="L63">
        <v>500</v>
      </c>
      <c r="M63">
        <v>0</v>
      </c>
      <c r="N63" s="4">
        <v>10</v>
      </c>
      <c r="O63">
        <v>72</v>
      </c>
      <c r="P63">
        <v>800</v>
      </c>
      <c r="Q63">
        <v>0</v>
      </c>
      <c r="R63">
        <f t="shared" si="8"/>
        <v>9.5</v>
      </c>
      <c r="S63">
        <f t="shared" si="9"/>
        <v>68.399999999999991</v>
      </c>
      <c r="T63">
        <f t="shared" si="10"/>
        <v>760</v>
      </c>
      <c r="U63">
        <f t="shared" si="11"/>
        <v>0</v>
      </c>
    </row>
    <row r="64" spans="1:21" x14ac:dyDescent="0.2">
      <c r="A64" s="2">
        <v>44317</v>
      </c>
      <c r="B64" s="3">
        <v>8.3333333333333329E-2</v>
      </c>
      <c r="C64" s="8" t="str">
        <f t="shared" si="1"/>
        <v>2021-05-01</v>
      </c>
      <c r="D64" s="11" t="str">
        <f t="shared" si="2"/>
        <v>02:00:00</v>
      </c>
      <c r="E64" s="7" t="str">
        <f t="shared" si="3"/>
        <v>2021-05-01 02:00:00</v>
      </c>
      <c r="F64">
        <v>21.05</v>
      </c>
      <c r="G64">
        <v>64.77</v>
      </c>
      <c r="H64">
        <v>318.33999999999997</v>
      </c>
      <c r="I64">
        <v>0</v>
      </c>
      <c r="J64">
        <v>12</v>
      </c>
      <c r="K64">
        <v>70</v>
      </c>
      <c r="L64">
        <v>500</v>
      </c>
      <c r="M64">
        <v>0</v>
      </c>
      <c r="N64" s="4">
        <v>10</v>
      </c>
      <c r="O64">
        <v>72</v>
      </c>
      <c r="P64">
        <v>800</v>
      </c>
      <c r="Q64">
        <v>0</v>
      </c>
      <c r="R64">
        <f t="shared" si="8"/>
        <v>9.5</v>
      </c>
      <c r="S64">
        <f t="shared" si="9"/>
        <v>68.399999999999991</v>
      </c>
      <c r="T64">
        <f t="shared" si="10"/>
        <v>760</v>
      </c>
      <c r="U64">
        <f t="shared" si="11"/>
        <v>0</v>
      </c>
    </row>
    <row r="65" spans="1:21" x14ac:dyDescent="0.2">
      <c r="A65" s="2">
        <v>44317</v>
      </c>
      <c r="B65" s="3">
        <v>0.125</v>
      </c>
      <c r="C65" s="8" t="str">
        <f t="shared" si="1"/>
        <v>2021-05-01</v>
      </c>
      <c r="D65" s="11" t="str">
        <f t="shared" si="2"/>
        <v>03:00:00</v>
      </c>
      <c r="E65" s="7" t="str">
        <f t="shared" si="3"/>
        <v>2021-05-01 03:00:00</v>
      </c>
      <c r="F65">
        <v>20.88</v>
      </c>
      <c r="G65">
        <v>65.180000000000007</v>
      </c>
      <c r="H65">
        <v>322.87</v>
      </c>
      <c r="I65">
        <v>0</v>
      </c>
      <c r="J65">
        <v>12</v>
      </c>
      <c r="K65">
        <v>70</v>
      </c>
      <c r="L65">
        <v>500</v>
      </c>
      <c r="M65">
        <v>0</v>
      </c>
      <c r="N65" s="4">
        <v>10</v>
      </c>
      <c r="O65">
        <v>72</v>
      </c>
      <c r="P65">
        <v>800</v>
      </c>
      <c r="Q65">
        <v>0</v>
      </c>
      <c r="R65">
        <f t="shared" si="8"/>
        <v>9.5</v>
      </c>
      <c r="S65">
        <f t="shared" si="9"/>
        <v>68.399999999999991</v>
      </c>
      <c r="T65">
        <f t="shared" si="10"/>
        <v>760</v>
      </c>
      <c r="U65">
        <f t="shared" si="11"/>
        <v>0</v>
      </c>
    </row>
    <row r="66" spans="1:21" x14ac:dyDescent="0.2">
      <c r="A66" s="2">
        <v>44317</v>
      </c>
      <c r="B66" s="3">
        <v>0.16666666666666666</v>
      </c>
      <c r="C66" s="8" t="str">
        <f t="shared" si="1"/>
        <v>2021-05-01</v>
      </c>
      <c r="D66" s="11" t="str">
        <f t="shared" si="2"/>
        <v>04:00:00</v>
      </c>
      <c r="E66" s="7" t="str">
        <f t="shared" si="3"/>
        <v>2021-05-01 04:00:00</v>
      </c>
      <c r="F66">
        <v>20.75</v>
      </c>
      <c r="G66">
        <v>65.400000000000006</v>
      </c>
      <c r="H66">
        <v>314.79000000000002</v>
      </c>
      <c r="I66">
        <v>0</v>
      </c>
      <c r="J66">
        <v>12</v>
      </c>
      <c r="K66">
        <v>70</v>
      </c>
      <c r="L66">
        <v>500</v>
      </c>
      <c r="M66">
        <v>0</v>
      </c>
      <c r="N66" s="4">
        <v>10</v>
      </c>
      <c r="O66">
        <v>72</v>
      </c>
      <c r="P66">
        <v>800</v>
      </c>
      <c r="Q66">
        <v>0</v>
      </c>
      <c r="R66">
        <f t="shared" si="8"/>
        <v>9.5</v>
      </c>
      <c r="S66">
        <f t="shared" si="9"/>
        <v>68.399999999999991</v>
      </c>
      <c r="T66">
        <f t="shared" si="10"/>
        <v>760</v>
      </c>
      <c r="U66">
        <f t="shared" si="11"/>
        <v>0</v>
      </c>
    </row>
    <row r="67" spans="1:21" x14ac:dyDescent="0.2">
      <c r="A67" s="2">
        <v>44317</v>
      </c>
      <c r="B67" s="3">
        <v>0.20833333333333334</v>
      </c>
      <c r="C67" s="8" t="str">
        <f t="shared" ref="C67:C109" si="12">TEXT(A67,"YYYY-MM-DD" )</f>
        <v>2021-05-01</v>
      </c>
      <c r="D67" s="11" t="str">
        <f t="shared" ref="D67:D109" si="13">TEXT(B67, "HH:MM:SS")</f>
        <v>05:00:00</v>
      </c>
      <c r="E67" s="7" t="str">
        <f t="shared" ref="E67:E109" si="14">_xlfn.CONCAT(C67," ", D67)</f>
        <v>2021-05-01 05:00:00</v>
      </c>
      <c r="F67">
        <v>20.63</v>
      </c>
      <c r="G67">
        <v>65.709999999999994</v>
      </c>
      <c r="H67">
        <v>315.18</v>
      </c>
      <c r="I67">
        <v>0</v>
      </c>
      <c r="J67">
        <v>12</v>
      </c>
      <c r="K67">
        <v>70</v>
      </c>
      <c r="L67">
        <v>500</v>
      </c>
      <c r="M67">
        <v>0</v>
      </c>
      <c r="N67" s="4">
        <v>10</v>
      </c>
      <c r="O67">
        <v>72</v>
      </c>
      <c r="P67">
        <v>800</v>
      </c>
      <c r="Q67">
        <v>0</v>
      </c>
      <c r="R67">
        <f t="shared" si="8"/>
        <v>9.5</v>
      </c>
      <c r="S67">
        <f t="shared" si="9"/>
        <v>68.399999999999991</v>
      </c>
      <c r="T67">
        <f t="shared" si="10"/>
        <v>760</v>
      </c>
      <c r="U67">
        <f t="shared" si="11"/>
        <v>0</v>
      </c>
    </row>
    <row r="68" spans="1:21" x14ac:dyDescent="0.2">
      <c r="A68" s="2">
        <v>44317</v>
      </c>
      <c r="B68" s="3">
        <v>0.25</v>
      </c>
      <c r="C68" s="8" t="str">
        <f t="shared" si="12"/>
        <v>2021-05-01</v>
      </c>
      <c r="D68" s="11" t="str">
        <f t="shared" si="13"/>
        <v>06:00:00</v>
      </c>
      <c r="E68" s="7" t="str">
        <f t="shared" si="14"/>
        <v>2021-05-01 06:00:00</v>
      </c>
      <c r="F68">
        <v>20.48</v>
      </c>
      <c r="G68">
        <v>66.319999999999993</v>
      </c>
      <c r="H68">
        <v>317.33</v>
      </c>
      <c r="I68">
        <v>0</v>
      </c>
      <c r="J68">
        <v>18</v>
      </c>
      <c r="K68">
        <v>70</v>
      </c>
      <c r="L68">
        <v>500</v>
      </c>
      <c r="M68">
        <v>2500</v>
      </c>
      <c r="N68" s="4">
        <v>17.5</v>
      </c>
      <c r="O68">
        <v>72</v>
      </c>
      <c r="P68">
        <v>800</v>
      </c>
      <c r="Q68">
        <v>2400</v>
      </c>
      <c r="R68">
        <f t="shared" si="8"/>
        <v>16.625</v>
      </c>
      <c r="S68">
        <f t="shared" si="9"/>
        <v>68.399999999999991</v>
      </c>
      <c r="T68">
        <f t="shared" si="10"/>
        <v>760</v>
      </c>
      <c r="U68">
        <f t="shared" si="11"/>
        <v>2280</v>
      </c>
    </row>
    <row r="69" spans="1:21" x14ac:dyDescent="0.2">
      <c r="A69" s="2">
        <v>44317</v>
      </c>
      <c r="B69" s="3">
        <v>0.29166666666666669</v>
      </c>
      <c r="C69" s="8" t="str">
        <f t="shared" si="12"/>
        <v>2021-05-01</v>
      </c>
      <c r="D69" s="11" t="str">
        <f t="shared" si="13"/>
        <v>07:00:00</v>
      </c>
      <c r="E69" s="7" t="str">
        <f t="shared" si="14"/>
        <v>2021-05-01 07:00:00</v>
      </c>
      <c r="F69">
        <v>20.37</v>
      </c>
      <c r="G69">
        <v>66.540000000000006</v>
      </c>
      <c r="H69">
        <v>316.72000000000003</v>
      </c>
      <c r="I69">
        <v>0</v>
      </c>
      <c r="J69">
        <v>25</v>
      </c>
      <c r="K69">
        <v>60</v>
      </c>
      <c r="L69">
        <v>1200</v>
      </c>
      <c r="M69">
        <v>5000</v>
      </c>
      <c r="N69" s="4">
        <v>23.5</v>
      </c>
      <c r="O69">
        <v>62</v>
      </c>
      <c r="P69">
        <v>1500</v>
      </c>
      <c r="Q69">
        <v>4800</v>
      </c>
      <c r="R69">
        <f t="shared" si="8"/>
        <v>22.324999999999999</v>
      </c>
      <c r="S69">
        <f t="shared" si="9"/>
        <v>58.9</v>
      </c>
      <c r="T69">
        <f t="shared" si="10"/>
        <v>1425</v>
      </c>
      <c r="U69">
        <f t="shared" si="11"/>
        <v>4560</v>
      </c>
    </row>
    <row r="70" spans="1:21" x14ac:dyDescent="0.2">
      <c r="A70" s="2">
        <v>44317</v>
      </c>
      <c r="B70" s="3">
        <v>0.33333333333333331</v>
      </c>
      <c r="C70" s="8" t="str">
        <f t="shared" si="12"/>
        <v>2021-05-01</v>
      </c>
      <c r="D70" s="11" t="str">
        <f t="shared" si="13"/>
        <v>08:00:00</v>
      </c>
      <c r="E70" s="7" t="str">
        <f t="shared" si="14"/>
        <v>2021-05-01 08:00:00</v>
      </c>
      <c r="F70">
        <v>21.29</v>
      </c>
      <c r="G70">
        <v>66.75</v>
      </c>
      <c r="H70">
        <v>309.38</v>
      </c>
      <c r="I70">
        <v>1666.21</v>
      </c>
      <c r="J70">
        <v>25</v>
      </c>
      <c r="K70">
        <v>60</v>
      </c>
      <c r="L70">
        <v>1200</v>
      </c>
      <c r="M70">
        <v>5000</v>
      </c>
      <c r="N70" s="4">
        <v>23</v>
      </c>
      <c r="O70">
        <v>62</v>
      </c>
      <c r="P70">
        <v>1500</v>
      </c>
      <c r="Q70">
        <v>4800</v>
      </c>
      <c r="R70">
        <f t="shared" si="8"/>
        <v>21.849999999999998</v>
      </c>
      <c r="S70">
        <f t="shared" si="9"/>
        <v>58.9</v>
      </c>
      <c r="T70">
        <f t="shared" si="10"/>
        <v>1425</v>
      </c>
      <c r="U70">
        <f t="shared" si="11"/>
        <v>4560</v>
      </c>
    </row>
    <row r="71" spans="1:21" x14ac:dyDescent="0.2">
      <c r="A71" s="2">
        <v>44317</v>
      </c>
      <c r="B71" s="3">
        <v>0.375</v>
      </c>
      <c r="C71" s="8" t="str">
        <f t="shared" si="12"/>
        <v>2021-05-01</v>
      </c>
      <c r="D71" s="11" t="str">
        <f t="shared" si="13"/>
        <v>09:00:00</v>
      </c>
      <c r="E71" s="7" t="str">
        <f t="shared" si="14"/>
        <v>2021-05-01 09:00:00</v>
      </c>
      <c r="F71">
        <v>23.67</v>
      </c>
      <c r="G71">
        <v>62.17</v>
      </c>
      <c r="H71">
        <v>310.58</v>
      </c>
      <c r="I71">
        <v>2665.06</v>
      </c>
      <c r="J71">
        <v>25</v>
      </c>
      <c r="K71">
        <v>60</v>
      </c>
      <c r="L71">
        <v>1200</v>
      </c>
      <c r="M71">
        <v>5000</v>
      </c>
      <c r="N71" s="4">
        <v>23.5</v>
      </c>
      <c r="O71">
        <v>62</v>
      </c>
      <c r="P71">
        <v>1500</v>
      </c>
      <c r="Q71">
        <v>4800</v>
      </c>
      <c r="R71">
        <f t="shared" si="8"/>
        <v>22.324999999999999</v>
      </c>
      <c r="S71">
        <f t="shared" si="9"/>
        <v>58.9</v>
      </c>
      <c r="T71">
        <f t="shared" si="10"/>
        <v>1425</v>
      </c>
      <c r="U71">
        <f t="shared" si="11"/>
        <v>4560</v>
      </c>
    </row>
    <row r="72" spans="1:21" x14ac:dyDescent="0.2">
      <c r="A72" s="2">
        <v>44317</v>
      </c>
      <c r="B72" s="3">
        <v>0.41666666666666669</v>
      </c>
      <c r="C72" s="8" t="str">
        <f t="shared" si="12"/>
        <v>2021-05-01</v>
      </c>
      <c r="D72" s="11" t="str">
        <f t="shared" si="13"/>
        <v>10:00:00</v>
      </c>
      <c r="E72" s="7" t="str">
        <f t="shared" si="14"/>
        <v>2021-05-01 10:00:00</v>
      </c>
      <c r="F72">
        <v>24.78</v>
      </c>
      <c r="G72">
        <v>59.23</v>
      </c>
      <c r="H72">
        <v>323.83</v>
      </c>
      <c r="I72">
        <v>2667.71</v>
      </c>
      <c r="J72">
        <v>25</v>
      </c>
      <c r="K72">
        <v>60</v>
      </c>
      <c r="L72">
        <v>1200</v>
      </c>
      <c r="M72">
        <v>5000</v>
      </c>
      <c r="N72" s="4">
        <v>23</v>
      </c>
      <c r="O72">
        <v>62</v>
      </c>
      <c r="P72">
        <v>1500</v>
      </c>
      <c r="Q72">
        <v>4800</v>
      </c>
      <c r="R72">
        <f t="shared" si="8"/>
        <v>21.849999999999998</v>
      </c>
      <c r="S72">
        <f t="shared" si="9"/>
        <v>58.9</v>
      </c>
      <c r="T72">
        <f t="shared" si="10"/>
        <v>1425</v>
      </c>
      <c r="U72">
        <f t="shared" si="11"/>
        <v>4560</v>
      </c>
    </row>
    <row r="73" spans="1:21" x14ac:dyDescent="0.2">
      <c r="A73" s="2">
        <v>44317</v>
      </c>
      <c r="B73" s="3">
        <v>0.45833333333333331</v>
      </c>
      <c r="C73" s="8" t="str">
        <f t="shared" si="12"/>
        <v>2021-05-01</v>
      </c>
      <c r="D73" s="11" t="str">
        <f t="shared" si="13"/>
        <v>11:00:00</v>
      </c>
      <c r="E73" s="7" t="str">
        <f t="shared" si="14"/>
        <v>2021-05-01 11:00:00</v>
      </c>
      <c r="F73">
        <v>25.05</v>
      </c>
      <c r="G73">
        <v>57.57</v>
      </c>
      <c r="H73">
        <v>324.52</v>
      </c>
      <c r="I73">
        <v>2676.55</v>
      </c>
      <c r="J73">
        <v>25</v>
      </c>
      <c r="K73">
        <v>60</v>
      </c>
      <c r="L73">
        <v>1200</v>
      </c>
      <c r="M73">
        <v>5000</v>
      </c>
      <c r="N73" s="4">
        <v>23.5</v>
      </c>
      <c r="O73">
        <v>62</v>
      </c>
      <c r="P73">
        <v>1500</v>
      </c>
      <c r="Q73">
        <v>4800</v>
      </c>
      <c r="R73">
        <f t="shared" si="8"/>
        <v>22.324999999999999</v>
      </c>
      <c r="S73">
        <f t="shared" si="9"/>
        <v>58.9</v>
      </c>
      <c r="T73">
        <f t="shared" si="10"/>
        <v>1425</v>
      </c>
      <c r="U73">
        <f t="shared" si="11"/>
        <v>4560</v>
      </c>
    </row>
    <row r="74" spans="1:21" x14ac:dyDescent="0.2">
      <c r="A74" s="2">
        <v>44317</v>
      </c>
      <c r="B74" s="3">
        <v>0.5</v>
      </c>
      <c r="C74" s="8" t="str">
        <f t="shared" si="12"/>
        <v>2021-05-01</v>
      </c>
      <c r="D74" s="11" t="str">
        <f t="shared" si="13"/>
        <v>12:00:00</v>
      </c>
      <c r="E74" s="7" t="str">
        <f t="shared" si="14"/>
        <v>2021-05-01 12:00:00</v>
      </c>
      <c r="F74">
        <v>25.51</v>
      </c>
      <c r="G74">
        <v>57.32</v>
      </c>
      <c r="H74">
        <v>320.45999999999998</v>
      </c>
      <c r="I74">
        <v>2676.83</v>
      </c>
      <c r="J74">
        <v>25</v>
      </c>
      <c r="K74">
        <v>60</v>
      </c>
      <c r="L74">
        <v>1200</v>
      </c>
      <c r="M74">
        <v>5000</v>
      </c>
      <c r="N74" s="4">
        <v>23.5</v>
      </c>
      <c r="O74">
        <v>62</v>
      </c>
      <c r="P74">
        <v>1500</v>
      </c>
      <c r="Q74">
        <v>4800</v>
      </c>
      <c r="R74">
        <f t="shared" si="8"/>
        <v>22.324999999999999</v>
      </c>
      <c r="S74">
        <f t="shared" si="9"/>
        <v>58.9</v>
      </c>
      <c r="T74">
        <f t="shared" si="10"/>
        <v>1425</v>
      </c>
      <c r="U74">
        <f t="shared" si="11"/>
        <v>4560</v>
      </c>
    </row>
    <row r="75" spans="1:21" x14ac:dyDescent="0.2">
      <c r="A75" s="2">
        <v>44317</v>
      </c>
      <c r="B75" s="3">
        <v>0.54166666666666663</v>
      </c>
      <c r="C75" s="8" t="str">
        <f t="shared" si="12"/>
        <v>2021-05-01</v>
      </c>
      <c r="D75" s="11" t="str">
        <f t="shared" si="13"/>
        <v>13:00:00</v>
      </c>
      <c r="E75" s="7" t="str">
        <f t="shared" si="14"/>
        <v>2021-05-01 13:00:00</v>
      </c>
      <c r="F75">
        <v>25.98</v>
      </c>
      <c r="G75">
        <v>56.79</v>
      </c>
      <c r="H75">
        <v>304.98</v>
      </c>
      <c r="I75">
        <v>2673.67</v>
      </c>
      <c r="J75">
        <v>25</v>
      </c>
      <c r="K75">
        <v>60</v>
      </c>
      <c r="L75">
        <v>1200</v>
      </c>
      <c r="M75">
        <v>5000</v>
      </c>
      <c r="N75" s="4">
        <v>23</v>
      </c>
      <c r="O75">
        <v>62</v>
      </c>
      <c r="P75">
        <v>1500</v>
      </c>
      <c r="Q75">
        <v>4800</v>
      </c>
      <c r="R75">
        <f t="shared" si="8"/>
        <v>21.849999999999998</v>
      </c>
      <c r="S75">
        <f t="shared" si="9"/>
        <v>58.9</v>
      </c>
      <c r="T75">
        <f t="shared" si="10"/>
        <v>1425</v>
      </c>
      <c r="U75">
        <f t="shared" si="11"/>
        <v>4560</v>
      </c>
    </row>
    <row r="76" spans="1:21" x14ac:dyDescent="0.2">
      <c r="A76" s="2">
        <v>44317</v>
      </c>
      <c r="B76" s="3">
        <v>0.58333333333333337</v>
      </c>
      <c r="C76" s="8" t="str">
        <f t="shared" si="12"/>
        <v>2021-05-01</v>
      </c>
      <c r="D76" s="11" t="str">
        <f t="shared" si="13"/>
        <v>14:00:00</v>
      </c>
      <c r="E76" s="7" t="str">
        <f t="shared" si="14"/>
        <v>2021-05-01 14:00:00</v>
      </c>
      <c r="F76">
        <v>26.3</v>
      </c>
      <c r="G76">
        <v>56.15</v>
      </c>
      <c r="H76">
        <v>284.74</v>
      </c>
      <c r="I76">
        <v>2665.73</v>
      </c>
      <c r="J76">
        <v>25</v>
      </c>
      <c r="K76">
        <v>60</v>
      </c>
      <c r="L76">
        <v>1200</v>
      </c>
      <c r="M76">
        <v>5000</v>
      </c>
      <c r="N76" s="4">
        <v>23.5</v>
      </c>
      <c r="O76">
        <v>62</v>
      </c>
      <c r="P76">
        <v>1500</v>
      </c>
      <c r="Q76">
        <v>4800</v>
      </c>
      <c r="R76">
        <f t="shared" si="8"/>
        <v>22.324999999999999</v>
      </c>
      <c r="S76">
        <f t="shared" si="9"/>
        <v>58.9</v>
      </c>
      <c r="T76">
        <f t="shared" si="10"/>
        <v>1425</v>
      </c>
      <c r="U76">
        <f t="shared" si="11"/>
        <v>4560</v>
      </c>
    </row>
    <row r="77" spans="1:21" x14ac:dyDescent="0.2">
      <c r="A77" s="2">
        <v>44317</v>
      </c>
      <c r="B77" s="3">
        <v>0.625</v>
      </c>
      <c r="C77" s="8" t="str">
        <f t="shared" si="12"/>
        <v>2021-05-01</v>
      </c>
      <c r="D77" s="11" t="str">
        <f t="shared" si="13"/>
        <v>15:00:00</v>
      </c>
      <c r="E77" s="7" t="str">
        <f t="shared" si="14"/>
        <v>2021-05-01 15:00:00</v>
      </c>
      <c r="F77">
        <v>26.44</v>
      </c>
      <c r="G77">
        <v>55.31</v>
      </c>
      <c r="H77">
        <v>275.82</v>
      </c>
      <c r="I77">
        <v>2669.87</v>
      </c>
      <c r="J77">
        <v>25</v>
      </c>
      <c r="K77">
        <v>60</v>
      </c>
      <c r="L77">
        <v>1200</v>
      </c>
      <c r="M77">
        <v>5000</v>
      </c>
      <c r="N77" s="4">
        <v>23</v>
      </c>
      <c r="O77">
        <v>62</v>
      </c>
      <c r="P77">
        <v>1500</v>
      </c>
      <c r="Q77">
        <v>4800</v>
      </c>
      <c r="R77">
        <f t="shared" si="8"/>
        <v>21.849999999999998</v>
      </c>
      <c r="S77">
        <f t="shared" si="9"/>
        <v>58.9</v>
      </c>
      <c r="T77">
        <f t="shared" si="10"/>
        <v>1425</v>
      </c>
      <c r="U77">
        <f t="shared" si="11"/>
        <v>4560</v>
      </c>
    </row>
    <row r="78" spans="1:21" x14ac:dyDescent="0.2">
      <c r="A78" s="2">
        <v>44317</v>
      </c>
      <c r="B78" s="3">
        <v>0.66666666666666663</v>
      </c>
      <c r="C78" s="8" t="str">
        <f t="shared" si="12"/>
        <v>2021-05-01</v>
      </c>
      <c r="D78" s="11" t="str">
        <f t="shared" si="13"/>
        <v>16:00:00</v>
      </c>
      <c r="E78" s="7" t="str">
        <f t="shared" si="14"/>
        <v>2021-05-01 16:00:00</v>
      </c>
      <c r="F78">
        <v>26.55</v>
      </c>
      <c r="G78">
        <v>55.49</v>
      </c>
      <c r="H78">
        <v>266.18</v>
      </c>
      <c r="I78">
        <v>2679.21</v>
      </c>
      <c r="J78">
        <v>25</v>
      </c>
      <c r="K78">
        <v>60</v>
      </c>
      <c r="L78">
        <v>1200</v>
      </c>
      <c r="M78">
        <v>5000</v>
      </c>
      <c r="N78" s="4">
        <v>23.5</v>
      </c>
      <c r="O78">
        <v>62</v>
      </c>
      <c r="P78">
        <v>1500</v>
      </c>
      <c r="Q78">
        <v>4800</v>
      </c>
      <c r="R78">
        <f t="shared" si="8"/>
        <v>22.324999999999999</v>
      </c>
      <c r="S78">
        <f t="shared" si="9"/>
        <v>58.9</v>
      </c>
      <c r="T78">
        <f t="shared" si="10"/>
        <v>1425</v>
      </c>
      <c r="U78">
        <f t="shared" si="11"/>
        <v>4560</v>
      </c>
    </row>
    <row r="79" spans="1:21" x14ac:dyDescent="0.2">
      <c r="A79" s="2">
        <v>44317</v>
      </c>
      <c r="B79" s="3">
        <v>0.70833333333333337</v>
      </c>
      <c r="C79" s="8" t="str">
        <f t="shared" si="12"/>
        <v>2021-05-01</v>
      </c>
      <c r="D79" s="11" t="str">
        <f t="shared" si="13"/>
        <v>17:00:00</v>
      </c>
      <c r="E79" s="7" t="str">
        <f t="shared" si="14"/>
        <v>2021-05-01 17:00:00</v>
      </c>
      <c r="F79">
        <v>26.95</v>
      </c>
      <c r="G79">
        <v>55.27</v>
      </c>
      <c r="H79">
        <v>259.76</v>
      </c>
      <c r="I79">
        <v>2660.96</v>
      </c>
      <c r="J79">
        <v>25</v>
      </c>
      <c r="K79">
        <v>60</v>
      </c>
      <c r="L79">
        <v>1200</v>
      </c>
      <c r="M79">
        <v>5000</v>
      </c>
      <c r="N79" s="4">
        <v>23</v>
      </c>
      <c r="O79">
        <v>62</v>
      </c>
      <c r="P79">
        <v>1500</v>
      </c>
      <c r="Q79">
        <v>4800</v>
      </c>
      <c r="R79">
        <f t="shared" si="8"/>
        <v>21.849999999999998</v>
      </c>
      <c r="S79">
        <f t="shared" si="9"/>
        <v>58.9</v>
      </c>
      <c r="T79">
        <f t="shared" si="10"/>
        <v>1425</v>
      </c>
      <c r="U79">
        <f t="shared" si="11"/>
        <v>4560</v>
      </c>
    </row>
    <row r="80" spans="1:21" x14ac:dyDescent="0.2">
      <c r="A80" s="2">
        <v>44317</v>
      </c>
      <c r="B80" s="3">
        <v>0.75</v>
      </c>
      <c r="C80" s="8" t="str">
        <f t="shared" si="12"/>
        <v>2021-05-01</v>
      </c>
      <c r="D80" s="11" t="str">
        <f t="shared" si="13"/>
        <v>18:00:00</v>
      </c>
      <c r="E80" s="7" t="str">
        <f t="shared" si="14"/>
        <v>2021-05-01 18:00:00</v>
      </c>
      <c r="F80">
        <v>26.2</v>
      </c>
      <c r="G80">
        <v>54.89</v>
      </c>
      <c r="H80">
        <v>249.62</v>
      </c>
      <c r="I80">
        <v>1369.04</v>
      </c>
      <c r="J80">
        <v>18</v>
      </c>
      <c r="K80">
        <v>60</v>
      </c>
      <c r="L80">
        <v>1200</v>
      </c>
      <c r="M80">
        <v>5000</v>
      </c>
      <c r="N80" s="4">
        <v>17.5</v>
      </c>
      <c r="O80">
        <v>62</v>
      </c>
      <c r="P80">
        <v>1500</v>
      </c>
      <c r="Q80">
        <v>4800</v>
      </c>
      <c r="R80">
        <f t="shared" si="8"/>
        <v>16.625</v>
      </c>
      <c r="S80">
        <f t="shared" si="9"/>
        <v>58.9</v>
      </c>
      <c r="T80">
        <f t="shared" si="10"/>
        <v>1425</v>
      </c>
      <c r="U80">
        <f t="shared" si="11"/>
        <v>4560</v>
      </c>
    </row>
    <row r="81" spans="1:21" x14ac:dyDescent="0.2">
      <c r="A81" s="2">
        <v>44317</v>
      </c>
      <c r="B81" s="3">
        <v>0.79166666666666663</v>
      </c>
      <c r="C81" s="8" t="str">
        <f t="shared" si="12"/>
        <v>2021-05-01</v>
      </c>
      <c r="D81" s="11" t="str">
        <f t="shared" si="13"/>
        <v>19:00:00</v>
      </c>
      <c r="E81" s="7" t="str">
        <f t="shared" si="14"/>
        <v>2021-05-01 19:00:00</v>
      </c>
      <c r="F81">
        <v>23.88</v>
      </c>
      <c r="G81">
        <v>57.63</v>
      </c>
      <c r="H81">
        <v>238.78</v>
      </c>
      <c r="I81">
        <v>216.26</v>
      </c>
      <c r="J81">
        <v>12</v>
      </c>
      <c r="K81">
        <v>70</v>
      </c>
      <c r="L81">
        <v>500</v>
      </c>
      <c r="M81">
        <v>2500</v>
      </c>
      <c r="N81" s="4">
        <v>10</v>
      </c>
      <c r="O81">
        <v>72</v>
      </c>
      <c r="P81">
        <v>800</v>
      </c>
      <c r="Q81">
        <v>2400</v>
      </c>
      <c r="R81">
        <f t="shared" si="8"/>
        <v>9.5</v>
      </c>
      <c r="S81">
        <f t="shared" si="9"/>
        <v>68.399999999999991</v>
      </c>
      <c r="T81">
        <f t="shared" si="10"/>
        <v>760</v>
      </c>
      <c r="U81">
        <f t="shared" si="11"/>
        <v>2280</v>
      </c>
    </row>
    <row r="82" spans="1:21" x14ac:dyDescent="0.2">
      <c r="A82" s="2">
        <v>44317</v>
      </c>
      <c r="B82" s="3">
        <v>0.83333333333333337</v>
      </c>
      <c r="C82" s="8" t="str">
        <f t="shared" si="12"/>
        <v>2021-05-01</v>
      </c>
      <c r="D82" s="11" t="str">
        <f t="shared" si="13"/>
        <v>20:00:00</v>
      </c>
      <c r="E82" s="7" t="str">
        <f t="shared" si="14"/>
        <v>2021-05-01 20:00:00</v>
      </c>
      <c r="F82">
        <v>22.79</v>
      </c>
      <c r="G82">
        <v>59.01</v>
      </c>
      <c r="H82">
        <v>227.51</v>
      </c>
      <c r="I82">
        <v>212.16</v>
      </c>
      <c r="J82">
        <v>12</v>
      </c>
      <c r="K82">
        <v>70</v>
      </c>
      <c r="L82">
        <v>500</v>
      </c>
      <c r="M82">
        <v>212.16</v>
      </c>
      <c r="N82" s="4">
        <v>10</v>
      </c>
      <c r="O82">
        <v>72</v>
      </c>
      <c r="P82">
        <v>800</v>
      </c>
      <c r="Q82">
        <v>0</v>
      </c>
      <c r="R82">
        <f t="shared" si="8"/>
        <v>9.5</v>
      </c>
      <c r="S82">
        <f t="shared" si="9"/>
        <v>68.399999999999991</v>
      </c>
      <c r="T82">
        <f t="shared" si="10"/>
        <v>760</v>
      </c>
      <c r="U82">
        <f t="shared" si="11"/>
        <v>0</v>
      </c>
    </row>
    <row r="83" spans="1:21" x14ac:dyDescent="0.2">
      <c r="A83" s="2">
        <v>44317</v>
      </c>
      <c r="B83" s="3">
        <v>0.875</v>
      </c>
      <c r="C83" s="8" t="str">
        <f t="shared" si="12"/>
        <v>2021-05-01</v>
      </c>
      <c r="D83" s="11" t="str">
        <f t="shared" si="13"/>
        <v>21:00:00</v>
      </c>
      <c r="E83" s="7" t="str">
        <f t="shared" si="14"/>
        <v>2021-05-01 21:00:00</v>
      </c>
      <c r="F83">
        <v>22.28</v>
      </c>
      <c r="G83">
        <v>59.89</v>
      </c>
      <c r="H83">
        <v>214.32</v>
      </c>
      <c r="I83">
        <v>211.24</v>
      </c>
      <c r="J83">
        <v>12</v>
      </c>
      <c r="K83">
        <v>70</v>
      </c>
      <c r="L83">
        <v>500</v>
      </c>
      <c r="M83">
        <v>211.24</v>
      </c>
      <c r="N83" s="4">
        <v>10</v>
      </c>
      <c r="O83">
        <v>72</v>
      </c>
      <c r="P83">
        <v>800</v>
      </c>
      <c r="Q83">
        <v>0</v>
      </c>
      <c r="R83">
        <f t="shared" si="8"/>
        <v>9.5</v>
      </c>
      <c r="S83">
        <f t="shared" si="9"/>
        <v>68.399999999999991</v>
      </c>
      <c r="T83">
        <f t="shared" si="10"/>
        <v>760</v>
      </c>
      <c r="U83">
        <f t="shared" si="11"/>
        <v>0</v>
      </c>
    </row>
    <row r="84" spans="1:21" x14ac:dyDescent="0.2">
      <c r="A84" s="2">
        <v>44317</v>
      </c>
      <c r="B84" s="3">
        <v>0.91666666666666663</v>
      </c>
      <c r="C84" s="8" t="str">
        <f t="shared" si="12"/>
        <v>2021-05-01</v>
      </c>
      <c r="D84" s="11" t="str">
        <f t="shared" si="13"/>
        <v>22:00:00</v>
      </c>
      <c r="E84" s="7" t="str">
        <f t="shared" si="14"/>
        <v>2021-05-01 22:00:00</v>
      </c>
      <c r="F84">
        <v>21.85</v>
      </c>
      <c r="G84">
        <v>61.08</v>
      </c>
      <c r="H84">
        <v>208.8</v>
      </c>
      <c r="I84">
        <v>200.39</v>
      </c>
      <c r="J84">
        <v>12</v>
      </c>
      <c r="K84">
        <v>70</v>
      </c>
      <c r="L84">
        <v>500</v>
      </c>
      <c r="M84">
        <v>200.39</v>
      </c>
      <c r="N84" s="4">
        <v>10</v>
      </c>
      <c r="O84">
        <v>72</v>
      </c>
      <c r="P84">
        <v>800</v>
      </c>
      <c r="Q84">
        <v>0</v>
      </c>
      <c r="R84">
        <f t="shared" si="8"/>
        <v>9.5</v>
      </c>
      <c r="S84">
        <f t="shared" si="9"/>
        <v>68.399999999999991</v>
      </c>
      <c r="T84">
        <f t="shared" si="10"/>
        <v>760</v>
      </c>
      <c r="U84">
        <f t="shared" si="11"/>
        <v>0</v>
      </c>
    </row>
    <row r="85" spans="1:21" x14ac:dyDescent="0.2">
      <c r="A85" s="2">
        <v>44317</v>
      </c>
      <c r="B85" s="3">
        <v>0.95833333333333337</v>
      </c>
      <c r="C85" s="8" t="str">
        <f t="shared" si="12"/>
        <v>2021-05-01</v>
      </c>
      <c r="D85" s="11" t="str">
        <f t="shared" si="13"/>
        <v>23:00:00</v>
      </c>
      <c r="E85" s="7" t="str">
        <f t="shared" si="14"/>
        <v>2021-05-01 23:00:00</v>
      </c>
      <c r="F85">
        <v>21.75</v>
      </c>
      <c r="G85">
        <v>62.55</v>
      </c>
      <c r="H85">
        <v>199.79</v>
      </c>
      <c r="I85">
        <v>224.24</v>
      </c>
      <c r="J85">
        <v>12</v>
      </c>
      <c r="K85">
        <v>70</v>
      </c>
      <c r="L85">
        <v>500</v>
      </c>
      <c r="M85">
        <v>224.24</v>
      </c>
      <c r="N85" s="4">
        <v>10</v>
      </c>
      <c r="O85">
        <v>72</v>
      </c>
      <c r="P85">
        <v>800</v>
      </c>
      <c r="Q85">
        <v>0</v>
      </c>
      <c r="R85">
        <f t="shared" si="8"/>
        <v>9.5</v>
      </c>
      <c r="S85">
        <f t="shared" si="9"/>
        <v>68.399999999999991</v>
      </c>
      <c r="T85">
        <f t="shared" si="10"/>
        <v>760</v>
      </c>
      <c r="U85">
        <f t="shared" si="11"/>
        <v>0</v>
      </c>
    </row>
    <row r="86" spans="1:21" x14ac:dyDescent="0.2">
      <c r="A86" s="2">
        <v>44318</v>
      </c>
      <c r="B86" s="3">
        <v>0</v>
      </c>
      <c r="C86" s="8" t="str">
        <f t="shared" si="12"/>
        <v>2021-05-02</v>
      </c>
      <c r="D86" s="11" t="str">
        <f t="shared" si="13"/>
        <v>00:00:00</v>
      </c>
      <c r="E86" s="7" t="str">
        <f t="shared" si="14"/>
        <v>2021-05-02 00:00:00</v>
      </c>
      <c r="F86">
        <v>21.61</v>
      </c>
      <c r="G86">
        <v>63.83</v>
      </c>
      <c r="H86">
        <v>189.68</v>
      </c>
      <c r="I86">
        <v>0</v>
      </c>
      <c r="J86">
        <v>12</v>
      </c>
      <c r="K86">
        <v>70</v>
      </c>
      <c r="L86">
        <v>500</v>
      </c>
      <c r="M86">
        <v>223.52</v>
      </c>
      <c r="N86" s="4">
        <v>10</v>
      </c>
      <c r="O86">
        <v>72</v>
      </c>
      <c r="P86">
        <v>800</v>
      </c>
      <c r="Q86">
        <v>0</v>
      </c>
      <c r="R86">
        <f t="shared" ref="R86:R109" si="15">0.95*N86</f>
        <v>9.5</v>
      </c>
      <c r="S86">
        <f t="shared" ref="S86:S109" si="16">0.95*O86</f>
        <v>68.399999999999991</v>
      </c>
      <c r="T86">
        <f t="shared" ref="T86:T109" si="17">0.95*P86</f>
        <v>760</v>
      </c>
      <c r="U86">
        <f t="shared" ref="U86:U109" si="18">0.95*Q86</f>
        <v>0</v>
      </c>
    </row>
    <row r="87" spans="1:21" x14ac:dyDescent="0.2">
      <c r="A87" s="2">
        <v>44318</v>
      </c>
      <c r="B87" s="3">
        <v>4.1666666666666664E-2</v>
      </c>
      <c r="C87" s="8" t="str">
        <f t="shared" si="12"/>
        <v>2021-05-02</v>
      </c>
      <c r="D87" s="11" t="str">
        <f t="shared" si="13"/>
        <v>01:00:00</v>
      </c>
      <c r="E87" s="7" t="str">
        <f t="shared" si="14"/>
        <v>2021-05-02 01:00:00</v>
      </c>
      <c r="F87">
        <v>21.58</v>
      </c>
      <c r="G87">
        <v>64.790000000000006</v>
      </c>
      <c r="H87">
        <v>178.64</v>
      </c>
      <c r="I87">
        <v>0</v>
      </c>
      <c r="J87">
        <v>12</v>
      </c>
      <c r="K87">
        <v>70</v>
      </c>
      <c r="L87">
        <v>500</v>
      </c>
      <c r="M87">
        <v>223.99</v>
      </c>
      <c r="N87" s="4">
        <v>10</v>
      </c>
      <c r="O87">
        <v>72</v>
      </c>
      <c r="P87">
        <v>800</v>
      </c>
      <c r="Q87">
        <v>0</v>
      </c>
      <c r="R87">
        <f t="shared" si="15"/>
        <v>9.5</v>
      </c>
      <c r="S87">
        <f t="shared" si="16"/>
        <v>68.399999999999991</v>
      </c>
      <c r="T87">
        <f t="shared" si="17"/>
        <v>760</v>
      </c>
      <c r="U87">
        <f t="shared" si="18"/>
        <v>0</v>
      </c>
    </row>
    <row r="88" spans="1:21" x14ac:dyDescent="0.2">
      <c r="A88" s="2">
        <v>44318</v>
      </c>
      <c r="B88" s="3">
        <v>8.3333333333333329E-2</v>
      </c>
      <c r="C88" s="8" t="str">
        <f t="shared" si="12"/>
        <v>2021-05-02</v>
      </c>
      <c r="D88" s="11" t="str">
        <f t="shared" si="13"/>
        <v>02:00:00</v>
      </c>
      <c r="E88" s="7" t="str">
        <f t="shared" si="14"/>
        <v>2021-05-02 02:00:00</v>
      </c>
      <c r="F88">
        <v>21.38</v>
      </c>
      <c r="G88">
        <v>64.48</v>
      </c>
      <c r="H88">
        <v>167.71</v>
      </c>
      <c r="I88">
        <v>0</v>
      </c>
      <c r="J88">
        <v>12</v>
      </c>
      <c r="K88">
        <v>70</v>
      </c>
      <c r="L88">
        <v>500</v>
      </c>
      <c r="M88">
        <v>224.64</v>
      </c>
      <c r="N88" s="4">
        <v>10</v>
      </c>
      <c r="O88">
        <v>72</v>
      </c>
      <c r="P88">
        <v>800</v>
      </c>
      <c r="Q88">
        <v>0</v>
      </c>
      <c r="R88">
        <f t="shared" si="15"/>
        <v>9.5</v>
      </c>
      <c r="S88">
        <f t="shared" si="16"/>
        <v>68.399999999999991</v>
      </c>
      <c r="T88">
        <f t="shared" si="17"/>
        <v>760</v>
      </c>
      <c r="U88">
        <f t="shared" si="18"/>
        <v>0</v>
      </c>
    </row>
    <row r="89" spans="1:21" x14ac:dyDescent="0.2">
      <c r="A89" s="2">
        <v>44318</v>
      </c>
      <c r="B89" s="3">
        <v>0.125</v>
      </c>
      <c r="C89" s="8" t="str">
        <f t="shared" si="12"/>
        <v>2021-05-02</v>
      </c>
      <c r="D89" s="11" t="str">
        <f t="shared" si="13"/>
        <v>03:00:00</v>
      </c>
      <c r="E89" s="7" t="str">
        <f t="shared" si="14"/>
        <v>2021-05-02 03:00:00</v>
      </c>
      <c r="F89">
        <v>21.24</v>
      </c>
      <c r="G89">
        <v>64.92</v>
      </c>
      <c r="H89">
        <v>148.44999999999999</v>
      </c>
      <c r="I89">
        <v>0</v>
      </c>
      <c r="J89">
        <v>12</v>
      </c>
      <c r="K89">
        <v>70</v>
      </c>
      <c r="L89">
        <v>500</v>
      </c>
      <c r="M89">
        <v>225.12</v>
      </c>
      <c r="N89" s="4">
        <v>10</v>
      </c>
      <c r="O89">
        <v>72</v>
      </c>
      <c r="P89">
        <v>800</v>
      </c>
      <c r="Q89">
        <v>0</v>
      </c>
      <c r="R89">
        <f t="shared" si="15"/>
        <v>9.5</v>
      </c>
      <c r="S89">
        <f t="shared" si="16"/>
        <v>68.399999999999991</v>
      </c>
      <c r="T89">
        <f t="shared" si="17"/>
        <v>760</v>
      </c>
      <c r="U89">
        <f t="shared" si="18"/>
        <v>0</v>
      </c>
    </row>
    <row r="90" spans="1:21" x14ac:dyDescent="0.2">
      <c r="A90" s="2">
        <v>44318</v>
      </c>
      <c r="B90" s="3">
        <v>0.16666666666666666</v>
      </c>
      <c r="C90" s="8" t="str">
        <f t="shared" si="12"/>
        <v>2021-05-02</v>
      </c>
      <c r="D90" s="11" t="str">
        <f t="shared" si="13"/>
        <v>04:00:00</v>
      </c>
      <c r="E90" s="7" t="str">
        <f t="shared" si="14"/>
        <v>2021-05-02 04:00:00</v>
      </c>
      <c r="F90">
        <v>20.86</v>
      </c>
      <c r="G90">
        <v>66</v>
      </c>
      <c r="H90">
        <v>322.87</v>
      </c>
      <c r="I90">
        <v>0</v>
      </c>
      <c r="J90">
        <v>12</v>
      </c>
      <c r="K90">
        <v>70</v>
      </c>
      <c r="L90">
        <v>500</v>
      </c>
      <c r="M90">
        <v>225.57</v>
      </c>
      <c r="N90" s="4">
        <v>10</v>
      </c>
      <c r="O90">
        <v>72</v>
      </c>
      <c r="P90">
        <v>800</v>
      </c>
      <c r="Q90">
        <v>0</v>
      </c>
      <c r="R90">
        <f t="shared" si="15"/>
        <v>9.5</v>
      </c>
      <c r="S90">
        <f t="shared" si="16"/>
        <v>68.399999999999991</v>
      </c>
      <c r="T90">
        <f t="shared" si="17"/>
        <v>760</v>
      </c>
      <c r="U90">
        <f t="shared" si="18"/>
        <v>0</v>
      </c>
    </row>
    <row r="91" spans="1:21" x14ac:dyDescent="0.2">
      <c r="A91" s="2">
        <v>44318</v>
      </c>
      <c r="B91" s="3">
        <v>0.20833333333333334</v>
      </c>
      <c r="C91" s="8" t="str">
        <f t="shared" si="12"/>
        <v>2021-05-02</v>
      </c>
      <c r="D91" s="11" t="str">
        <f t="shared" si="13"/>
        <v>05:00:00</v>
      </c>
      <c r="E91" s="7" t="str">
        <f t="shared" si="14"/>
        <v>2021-05-02 05:00:00</v>
      </c>
      <c r="F91">
        <v>20.399999999999999</v>
      </c>
      <c r="G91">
        <v>67.64</v>
      </c>
      <c r="H91">
        <v>314.79000000000002</v>
      </c>
      <c r="I91">
        <v>0</v>
      </c>
      <c r="J91">
        <v>12</v>
      </c>
      <c r="K91">
        <v>70</v>
      </c>
      <c r="L91">
        <v>500</v>
      </c>
      <c r="M91">
        <v>226.2</v>
      </c>
      <c r="N91" s="4">
        <v>10</v>
      </c>
      <c r="O91">
        <v>72</v>
      </c>
      <c r="P91">
        <v>800</v>
      </c>
      <c r="Q91">
        <v>0</v>
      </c>
      <c r="R91">
        <f t="shared" si="15"/>
        <v>9.5</v>
      </c>
      <c r="S91">
        <f t="shared" si="16"/>
        <v>68.399999999999991</v>
      </c>
      <c r="T91">
        <f t="shared" si="17"/>
        <v>760</v>
      </c>
      <c r="U91">
        <f t="shared" si="18"/>
        <v>0</v>
      </c>
    </row>
    <row r="92" spans="1:21" x14ac:dyDescent="0.2">
      <c r="A92" s="2">
        <v>44318</v>
      </c>
      <c r="B92" s="3">
        <v>0.25</v>
      </c>
      <c r="C92" s="8" t="str">
        <f t="shared" si="12"/>
        <v>2021-05-02</v>
      </c>
      <c r="D92" s="11" t="str">
        <f t="shared" si="13"/>
        <v>06:00:00</v>
      </c>
      <c r="E92" s="7" t="str">
        <f t="shared" si="14"/>
        <v>2021-05-02 06:00:00</v>
      </c>
      <c r="F92">
        <v>20.29</v>
      </c>
      <c r="G92">
        <v>67.930000000000007</v>
      </c>
      <c r="H92">
        <v>315.18</v>
      </c>
      <c r="I92">
        <v>0</v>
      </c>
      <c r="J92">
        <v>18</v>
      </c>
      <c r="K92">
        <v>70</v>
      </c>
      <c r="L92">
        <v>500</v>
      </c>
      <c r="M92">
        <v>2500</v>
      </c>
      <c r="N92" s="4">
        <v>17.5</v>
      </c>
      <c r="O92">
        <v>72</v>
      </c>
      <c r="P92">
        <v>800</v>
      </c>
      <c r="Q92">
        <v>2400</v>
      </c>
      <c r="R92">
        <f t="shared" si="15"/>
        <v>16.625</v>
      </c>
      <c r="S92">
        <f t="shared" si="16"/>
        <v>68.399999999999991</v>
      </c>
      <c r="T92">
        <f t="shared" si="17"/>
        <v>760</v>
      </c>
      <c r="U92">
        <f t="shared" si="18"/>
        <v>2280</v>
      </c>
    </row>
    <row r="93" spans="1:21" x14ac:dyDescent="0.2">
      <c r="A93" s="2">
        <v>44318</v>
      </c>
      <c r="B93" s="3">
        <v>0.29166666666666669</v>
      </c>
      <c r="C93" s="8" t="str">
        <f t="shared" si="12"/>
        <v>2021-05-02</v>
      </c>
      <c r="D93" s="11" t="str">
        <f t="shared" si="13"/>
        <v>07:00:00</v>
      </c>
      <c r="E93" s="7" t="str">
        <f t="shared" si="14"/>
        <v>2021-05-02 07:00:00</v>
      </c>
      <c r="F93">
        <v>19.97</v>
      </c>
      <c r="G93">
        <v>69.41</v>
      </c>
      <c r="H93">
        <v>317.33</v>
      </c>
      <c r="I93">
        <v>0</v>
      </c>
      <c r="J93">
        <v>25</v>
      </c>
      <c r="K93">
        <v>60</v>
      </c>
      <c r="L93">
        <v>1200</v>
      </c>
      <c r="M93">
        <v>5000</v>
      </c>
      <c r="N93" s="4">
        <v>23.5</v>
      </c>
      <c r="O93">
        <v>62</v>
      </c>
      <c r="P93">
        <v>1500</v>
      </c>
      <c r="Q93">
        <v>4800</v>
      </c>
      <c r="R93">
        <f t="shared" si="15"/>
        <v>22.324999999999999</v>
      </c>
      <c r="S93">
        <f t="shared" si="16"/>
        <v>58.9</v>
      </c>
      <c r="T93">
        <f t="shared" si="17"/>
        <v>1425</v>
      </c>
      <c r="U93">
        <f t="shared" si="18"/>
        <v>4560</v>
      </c>
    </row>
    <row r="94" spans="1:21" x14ac:dyDescent="0.2">
      <c r="A94" s="2">
        <v>44318</v>
      </c>
      <c r="B94" s="3">
        <v>0.33333333333333298</v>
      </c>
      <c r="C94" s="8" t="str">
        <f t="shared" si="12"/>
        <v>2021-05-02</v>
      </c>
      <c r="D94" s="11" t="str">
        <f t="shared" si="13"/>
        <v>08:00:00</v>
      </c>
      <c r="E94" s="7" t="str">
        <f t="shared" si="14"/>
        <v>2021-05-02 08:00:00</v>
      </c>
      <c r="F94">
        <v>19.97</v>
      </c>
      <c r="G94">
        <v>69.41</v>
      </c>
      <c r="H94">
        <v>316.72000000000003</v>
      </c>
      <c r="I94">
        <v>883.51</v>
      </c>
      <c r="J94">
        <v>25</v>
      </c>
      <c r="K94">
        <v>60</v>
      </c>
      <c r="L94">
        <v>1200</v>
      </c>
      <c r="M94">
        <v>5000</v>
      </c>
      <c r="N94" s="4">
        <v>23</v>
      </c>
      <c r="O94">
        <v>62</v>
      </c>
      <c r="P94">
        <v>1500</v>
      </c>
      <c r="Q94">
        <v>4800</v>
      </c>
      <c r="R94">
        <f t="shared" si="15"/>
        <v>21.849999999999998</v>
      </c>
      <c r="S94">
        <f t="shared" si="16"/>
        <v>58.9</v>
      </c>
      <c r="T94">
        <f t="shared" si="17"/>
        <v>1425</v>
      </c>
      <c r="U94">
        <f t="shared" si="18"/>
        <v>4560</v>
      </c>
    </row>
    <row r="95" spans="1:21" x14ac:dyDescent="0.2">
      <c r="A95" s="2">
        <v>44318</v>
      </c>
      <c r="B95" s="3">
        <v>0.375</v>
      </c>
      <c r="C95" s="8" t="str">
        <f t="shared" si="12"/>
        <v>2021-05-02</v>
      </c>
      <c r="D95" s="11" t="str">
        <f t="shared" si="13"/>
        <v>09:00:00</v>
      </c>
      <c r="E95" s="7" t="str">
        <f t="shared" si="14"/>
        <v>2021-05-02 09:00:00</v>
      </c>
      <c r="F95">
        <v>19.97</v>
      </c>
      <c r="G95">
        <v>69.41</v>
      </c>
      <c r="H95">
        <v>309.38</v>
      </c>
      <c r="I95">
        <v>2691.9</v>
      </c>
      <c r="J95">
        <v>25</v>
      </c>
      <c r="K95">
        <v>60</v>
      </c>
      <c r="L95">
        <v>1200</v>
      </c>
      <c r="M95">
        <v>5000</v>
      </c>
      <c r="N95" s="4">
        <v>23.5</v>
      </c>
      <c r="O95">
        <v>62</v>
      </c>
      <c r="P95">
        <v>1500</v>
      </c>
      <c r="Q95">
        <v>4800</v>
      </c>
      <c r="R95">
        <f t="shared" si="15"/>
        <v>22.324999999999999</v>
      </c>
      <c r="S95">
        <f t="shared" si="16"/>
        <v>58.9</v>
      </c>
      <c r="T95">
        <f t="shared" si="17"/>
        <v>1425</v>
      </c>
      <c r="U95">
        <f t="shared" si="18"/>
        <v>4560</v>
      </c>
    </row>
    <row r="96" spans="1:21" x14ac:dyDescent="0.2">
      <c r="A96" s="2">
        <v>44318</v>
      </c>
      <c r="B96" s="3">
        <v>0.41666666666666702</v>
      </c>
      <c r="C96" s="8" t="str">
        <f t="shared" si="12"/>
        <v>2021-05-02</v>
      </c>
      <c r="D96" s="11" t="str">
        <f t="shared" si="13"/>
        <v>10:00:00</v>
      </c>
      <c r="E96" s="7" t="str">
        <f t="shared" si="14"/>
        <v>2021-05-02 10:00:00</v>
      </c>
      <c r="F96">
        <v>19.97</v>
      </c>
      <c r="G96">
        <v>69.41</v>
      </c>
      <c r="H96">
        <v>310.58</v>
      </c>
      <c r="I96">
        <v>2740.98</v>
      </c>
      <c r="J96">
        <v>25</v>
      </c>
      <c r="K96">
        <v>60</v>
      </c>
      <c r="L96">
        <v>1200</v>
      </c>
      <c r="M96">
        <v>5000</v>
      </c>
      <c r="N96" s="4">
        <v>23</v>
      </c>
      <c r="O96">
        <v>62</v>
      </c>
      <c r="P96">
        <v>1500</v>
      </c>
      <c r="Q96">
        <v>4800</v>
      </c>
      <c r="R96">
        <f t="shared" si="15"/>
        <v>21.849999999999998</v>
      </c>
      <c r="S96">
        <f t="shared" si="16"/>
        <v>58.9</v>
      </c>
      <c r="T96">
        <f t="shared" si="17"/>
        <v>1425</v>
      </c>
      <c r="U96">
        <f t="shared" si="18"/>
        <v>4560</v>
      </c>
    </row>
    <row r="97" spans="1:21" x14ac:dyDescent="0.2">
      <c r="A97" s="2">
        <v>44318</v>
      </c>
      <c r="B97" s="3">
        <v>0.45833333333333298</v>
      </c>
      <c r="C97" s="8" t="str">
        <f t="shared" si="12"/>
        <v>2021-05-02</v>
      </c>
      <c r="D97" s="11" t="str">
        <f t="shared" si="13"/>
        <v>11:00:00</v>
      </c>
      <c r="E97" s="7" t="str">
        <f t="shared" si="14"/>
        <v>2021-05-02 11:00:00</v>
      </c>
      <c r="F97">
        <v>19.97</v>
      </c>
      <c r="G97">
        <v>69.41</v>
      </c>
      <c r="H97">
        <v>324.52</v>
      </c>
      <c r="I97">
        <v>2725.87</v>
      </c>
      <c r="J97">
        <v>25</v>
      </c>
      <c r="K97">
        <v>60</v>
      </c>
      <c r="L97">
        <v>1200</v>
      </c>
      <c r="M97">
        <v>5000</v>
      </c>
      <c r="N97" s="4">
        <v>23.5</v>
      </c>
      <c r="O97">
        <v>62</v>
      </c>
      <c r="P97">
        <v>1500</v>
      </c>
      <c r="Q97">
        <v>4800</v>
      </c>
      <c r="R97">
        <f t="shared" si="15"/>
        <v>22.324999999999999</v>
      </c>
      <c r="S97">
        <f t="shared" si="16"/>
        <v>58.9</v>
      </c>
      <c r="T97">
        <f t="shared" si="17"/>
        <v>1425</v>
      </c>
      <c r="U97">
        <f t="shared" si="18"/>
        <v>4560</v>
      </c>
    </row>
    <row r="98" spans="1:21" x14ac:dyDescent="0.2">
      <c r="A98" s="2">
        <v>44318</v>
      </c>
      <c r="B98" s="3">
        <v>0.5</v>
      </c>
      <c r="C98" s="8" t="str">
        <f t="shared" si="12"/>
        <v>2021-05-02</v>
      </c>
      <c r="D98" s="11" t="str">
        <f t="shared" si="13"/>
        <v>12:00:00</v>
      </c>
      <c r="E98" s="7" t="str">
        <f t="shared" si="14"/>
        <v>2021-05-02 12:00:00</v>
      </c>
      <c r="F98">
        <v>19.97</v>
      </c>
      <c r="G98">
        <v>69.41</v>
      </c>
      <c r="H98">
        <v>365.71</v>
      </c>
      <c r="I98">
        <v>2733.66</v>
      </c>
      <c r="J98">
        <v>25</v>
      </c>
      <c r="K98">
        <v>60</v>
      </c>
      <c r="L98">
        <v>1200</v>
      </c>
      <c r="M98">
        <v>5000</v>
      </c>
      <c r="N98" s="4">
        <v>23.5</v>
      </c>
      <c r="O98">
        <v>62</v>
      </c>
      <c r="P98">
        <v>1500</v>
      </c>
      <c r="Q98">
        <v>4800</v>
      </c>
      <c r="R98">
        <f t="shared" si="15"/>
        <v>22.324999999999999</v>
      </c>
      <c r="S98">
        <f t="shared" si="16"/>
        <v>58.9</v>
      </c>
      <c r="T98">
        <f t="shared" si="17"/>
        <v>1425</v>
      </c>
      <c r="U98">
        <f t="shared" si="18"/>
        <v>4560</v>
      </c>
    </row>
    <row r="99" spans="1:21" x14ac:dyDescent="0.2">
      <c r="A99" s="2">
        <v>44318</v>
      </c>
      <c r="B99" s="3">
        <v>0.54166666666666696</v>
      </c>
      <c r="C99" s="8" t="str">
        <f t="shared" si="12"/>
        <v>2021-05-02</v>
      </c>
      <c r="D99" s="11" t="str">
        <f t="shared" si="13"/>
        <v>13:00:00</v>
      </c>
      <c r="E99" s="7" t="str">
        <f t="shared" si="14"/>
        <v>2021-05-02 13:00:00</v>
      </c>
      <c r="F99">
        <v>19.97</v>
      </c>
      <c r="G99">
        <v>69.41</v>
      </c>
      <c r="H99">
        <v>331.74</v>
      </c>
      <c r="I99">
        <v>2730.03</v>
      </c>
      <c r="J99">
        <v>25</v>
      </c>
      <c r="K99">
        <v>60</v>
      </c>
      <c r="L99">
        <v>1200</v>
      </c>
      <c r="M99">
        <v>5000</v>
      </c>
      <c r="N99" s="4">
        <v>23</v>
      </c>
      <c r="O99">
        <v>62</v>
      </c>
      <c r="P99">
        <v>1500</v>
      </c>
      <c r="Q99">
        <v>4800</v>
      </c>
      <c r="R99">
        <f t="shared" si="15"/>
        <v>21.849999999999998</v>
      </c>
      <c r="S99">
        <f t="shared" si="16"/>
        <v>58.9</v>
      </c>
      <c r="T99">
        <f t="shared" si="17"/>
        <v>1425</v>
      </c>
      <c r="U99">
        <f t="shared" si="18"/>
        <v>4560</v>
      </c>
    </row>
    <row r="100" spans="1:21" x14ac:dyDescent="0.2">
      <c r="A100" s="2">
        <v>44318</v>
      </c>
      <c r="B100" s="3">
        <v>0.58333333333333304</v>
      </c>
      <c r="C100" s="8" t="str">
        <f t="shared" si="12"/>
        <v>2021-05-02</v>
      </c>
      <c r="D100" s="11" t="str">
        <f t="shared" si="13"/>
        <v>14:00:00</v>
      </c>
      <c r="E100" s="7" t="str">
        <f t="shared" si="14"/>
        <v>2021-05-02 14:00:00</v>
      </c>
      <c r="F100">
        <v>19.97</v>
      </c>
      <c r="G100">
        <v>69.41</v>
      </c>
      <c r="H100">
        <v>307.79000000000002</v>
      </c>
      <c r="I100">
        <v>2727.25</v>
      </c>
      <c r="J100">
        <v>25</v>
      </c>
      <c r="K100">
        <v>60</v>
      </c>
      <c r="L100">
        <v>1200</v>
      </c>
      <c r="M100">
        <v>5000</v>
      </c>
      <c r="N100" s="4">
        <v>23.5</v>
      </c>
      <c r="O100">
        <v>62</v>
      </c>
      <c r="P100">
        <v>1500</v>
      </c>
      <c r="Q100">
        <v>4800</v>
      </c>
      <c r="R100">
        <f t="shared" si="15"/>
        <v>22.324999999999999</v>
      </c>
      <c r="S100">
        <f t="shared" si="16"/>
        <v>58.9</v>
      </c>
      <c r="T100">
        <f t="shared" si="17"/>
        <v>1425</v>
      </c>
      <c r="U100">
        <f t="shared" si="18"/>
        <v>4560</v>
      </c>
    </row>
    <row r="101" spans="1:21" x14ac:dyDescent="0.2">
      <c r="A101" s="2">
        <v>44318</v>
      </c>
      <c r="B101" s="3">
        <v>0.625</v>
      </c>
      <c r="C101" s="8" t="str">
        <f t="shared" si="12"/>
        <v>2021-05-02</v>
      </c>
      <c r="D101" s="11" t="str">
        <f t="shared" si="13"/>
        <v>15:00:00</v>
      </c>
      <c r="E101" s="7" t="str">
        <f t="shared" si="14"/>
        <v>2021-05-02 15:00:00</v>
      </c>
      <c r="F101">
        <v>19.97</v>
      </c>
      <c r="G101">
        <v>69.41</v>
      </c>
      <c r="H101">
        <v>325.75</v>
      </c>
      <c r="I101">
        <v>2727.42</v>
      </c>
      <c r="J101">
        <v>25</v>
      </c>
      <c r="K101">
        <v>60</v>
      </c>
      <c r="L101">
        <v>1200</v>
      </c>
      <c r="M101">
        <v>5000</v>
      </c>
      <c r="N101" s="4">
        <v>23</v>
      </c>
      <c r="O101">
        <v>62</v>
      </c>
      <c r="P101">
        <v>1500</v>
      </c>
      <c r="Q101">
        <v>4800</v>
      </c>
      <c r="R101">
        <f t="shared" si="15"/>
        <v>21.849999999999998</v>
      </c>
      <c r="S101">
        <f t="shared" si="16"/>
        <v>58.9</v>
      </c>
      <c r="T101">
        <f t="shared" si="17"/>
        <v>1425</v>
      </c>
      <c r="U101">
        <f t="shared" si="18"/>
        <v>4560</v>
      </c>
    </row>
    <row r="102" spans="1:21" x14ac:dyDescent="0.2">
      <c r="A102" s="2">
        <v>44318</v>
      </c>
      <c r="B102" s="3">
        <v>0.66666666666666696</v>
      </c>
      <c r="C102" s="8" t="str">
        <f t="shared" si="12"/>
        <v>2021-05-02</v>
      </c>
      <c r="D102" s="11" t="str">
        <f t="shared" si="13"/>
        <v>16:00:00</v>
      </c>
      <c r="E102" s="7" t="str">
        <f t="shared" si="14"/>
        <v>2021-05-02 16:00:00</v>
      </c>
      <c r="F102">
        <v>19.97</v>
      </c>
      <c r="G102">
        <v>69.41</v>
      </c>
      <c r="H102">
        <v>336.04</v>
      </c>
      <c r="I102">
        <v>2736.74</v>
      </c>
      <c r="J102">
        <v>25</v>
      </c>
      <c r="K102">
        <v>60</v>
      </c>
      <c r="L102">
        <v>1200</v>
      </c>
      <c r="M102">
        <v>5000</v>
      </c>
      <c r="N102" s="4">
        <v>23.5</v>
      </c>
      <c r="O102">
        <v>62</v>
      </c>
      <c r="P102">
        <v>1500</v>
      </c>
      <c r="Q102">
        <v>4800</v>
      </c>
      <c r="R102">
        <f t="shared" si="15"/>
        <v>22.324999999999999</v>
      </c>
      <c r="S102">
        <f t="shared" si="16"/>
        <v>58.9</v>
      </c>
      <c r="T102">
        <f t="shared" si="17"/>
        <v>1425</v>
      </c>
      <c r="U102">
        <f t="shared" si="18"/>
        <v>4560</v>
      </c>
    </row>
    <row r="103" spans="1:21" x14ac:dyDescent="0.2">
      <c r="A103" s="2">
        <v>44318</v>
      </c>
      <c r="B103" s="3">
        <v>0.70833333333333304</v>
      </c>
      <c r="C103" s="8" t="str">
        <f t="shared" si="12"/>
        <v>2021-05-02</v>
      </c>
      <c r="D103" s="11" t="str">
        <f t="shared" si="13"/>
        <v>17:00:00</v>
      </c>
      <c r="E103" s="7" t="str">
        <f t="shared" si="14"/>
        <v>2021-05-02 17:00:00</v>
      </c>
      <c r="F103">
        <v>19.97</v>
      </c>
      <c r="G103">
        <v>69.41</v>
      </c>
      <c r="H103">
        <v>316.45</v>
      </c>
      <c r="I103">
        <v>2739.08</v>
      </c>
      <c r="J103">
        <v>25</v>
      </c>
      <c r="K103">
        <v>60</v>
      </c>
      <c r="L103">
        <v>1200</v>
      </c>
      <c r="M103">
        <v>5000</v>
      </c>
      <c r="N103" s="4">
        <v>23</v>
      </c>
      <c r="O103">
        <v>62</v>
      </c>
      <c r="P103">
        <v>1500</v>
      </c>
      <c r="Q103">
        <v>4800</v>
      </c>
      <c r="R103">
        <f t="shared" si="15"/>
        <v>21.849999999999998</v>
      </c>
      <c r="S103">
        <f t="shared" si="16"/>
        <v>58.9</v>
      </c>
      <c r="T103">
        <f t="shared" si="17"/>
        <v>1425</v>
      </c>
      <c r="U103">
        <f t="shared" si="18"/>
        <v>4560</v>
      </c>
    </row>
    <row r="104" spans="1:21" x14ac:dyDescent="0.2">
      <c r="A104" s="2">
        <v>44318</v>
      </c>
      <c r="B104" s="3">
        <v>0.75</v>
      </c>
      <c r="C104" s="8" t="str">
        <f t="shared" si="12"/>
        <v>2021-05-02</v>
      </c>
      <c r="D104" s="11" t="str">
        <f t="shared" si="13"/>
        <v>18:00:00</v>
      </c>
      <c r="E104" s="7" t="str">
        <f t="shared" si="14"/>
        <v>2021-05-02 18:00:00</v>
      </c>
      <c r="F104">
        <v>19.97</v>
      </c>
      <c r="G104">
        <v>69.41</v>
      </c>
      <c r="H104">
        <v>297.14999999999998</v>
      </c>
      <c r="I104">
        <v>1595.82</v>
      </c>
      <c r="J104">
        <v>18</v>
      </c>
      <c r="K104">
        <v>60</v>
      </c>
      <c r="L104">
        <v>1200</v>
      </c>
      <c r="M104">
        <v>5000</v>
      </c>
      <c r="N104" s="4">
        <v>17.5</v>
      </c>
      <c r="O104">
        <v>62</v>
      </c>
      <c r="P104">
        <v>1500</v>
      </c>
      <c r="Q104">
        <v>4800</v>
      </c>
      <c r="R104">
        <f t="shared" si="15"/>
        <v>16.625</v>
      </c>
      <c r="S104">
        <f t="shared" si="16"/>
        <v>58.9</v>
      </c>
      <c r="T104">
        <f t="shared" si="17"/>
        <v>1425</v>
      </c>
      <c r="U104">
        <f t="shared" si="18"/>
        <v>4560</v>
      </c>
    </row>
    <row r="105" spans="1:21" x14ac:dyDescent="0.2">
      <c r="A105" s="2">
        <v>44318</v>
      </c>
      <c r="B105" s="3">
        <v>0.79166666666666696</v>
      </c>
      <c r="C105" s="8" t="str">
        <f t="shared" si="12"/>
        <v>2021-05-02</v>
      </c>
      <c r="D105" s="11" t="str">
        <f t="shared" si="13"/>
        <v>19:00:00</v>
      </c>
      <c r="E105" s="7" t="str">
        <f t="shared" si="14"/>
        <v>2021-05-02 19:00:00</v>
      </c>
      <c r="F105">
        <v>19.97</v>
      </c>
      <c r="G105">
        <v>69.41</v>
      </c>
      <c r="H105">
        <v>293.49</v>
      </c>
      <c r="I105">
        <v>4.17</v>
      </c>
      <c r="J105">
        <v>12</v>
      </c>
      <c r="K105">
        <v>70</v>
      </c>
      <c r="L105">
        <v>500</v>
      </c>
      <c r="M105">
        <v>2500</v>
      </c>
      <c r="N105" s="4">
        <v>10</v>
      </c>
      <c r="O105">
        <v>72</v>
      </c>
      <c r="P105">
        <v>800</v>
      </c>
      <c r="Q105">
        <v>2400</v>
      </c>
      <c r="R105">
        <f t="shared" si="15"/>
        <v>9.5</v>
      </c>
      <c r="S105">
        <f t="shared" si="16"/>
        <v>68.399999999999991</v>
      </c>
      <c r="T105">
        <f t="shared" si="17"/>
        <v>760</v>
      </c>
      <c r="U105">
        <f t="shared" si="18"/>
        <v>2280</v>
      </c>
    </row>
    <row r="106" spans="1:21" x14ac:dyDescent="0.2">
      <c r="A106" s="2">
        <v>44318</v>
      </c>
      <c r="B106" s="3">
        <v>0.83333333333333304</v>
      </c>
      <c r="C106" s="8" t="str">
        <f t="shared" si="12"/>
        <v>2021-05-02</v>
      </c>
      <c r="D106" s="11" t="str">
        <f t="shared" si="13"/>
        <v>20:00:00</v>
      </c>
      <c r="E106" s="7" t="str">
        <f t="shared" si="14"/>
        <v>2021-05-02 20:00:00</v>
      </c>
      <c r="F106">
        <v>19.97</v>
      </c>
      <c r="G106">
        <v>69.41</v>
      </c>
      <c r="H106">
        <v>304.7</v>
      </c>
      <c r="I106">
        <v>4.17</v>
      </c>
      <c r="J106">
        <v>12</v>
      </c>
      <c r="K106">
        <v>70</v>
      </c>
      <c r="L106">
        <v>500</v>
      </c>
      <c r="M106">
        <v>212.16</v>
      </c>
      <c r="N106" s="4">
        <v>10</v>
      </c>
      <c r="O106">
        <v>72</v>
      </c>
      <c r="P106">
        <v>800</v>
      </c>
      <c r="Q106">
        <v>0</v>
      </c>
      <c r="R106">
        <f t="shared" si="15"/>
        <v>9.5</v>
      </c>
      <c r="S106">
        <f t="shared" si="16"/>
        <v>68.399999999999991</v>
      </c>
      <c r="T106">
        <f t="shared" si="17"/>
        <v>760</v>
      </c>
      <c r="U106">
        <f t="shared" si="18"/>
        <v>0</v>
      </c>
    </row>
    <row r="107" spans="1:21" x14ac:dyDescent="0.2">
      <c r="A107" s="2">
        <v>44318</v>
      </c>
      <c r="B107" s="3">
        <v>0.875</v>
      </c>
      <c r="C107" s="8" t="str">
        <f t="shared" si="12"/>
        <v>2021-05-02</v>
      </c>
      <c r="D107" s="11" t="str">
        <f t="shared" si="13"/>
        <v>21:00:00</v>
      </c>
      <c r="E107" s="7" t="str">
        <f t="shared" si="14"/>
        <v>2021-05-02 21:00:00</v>
      </c>
      <c r="F107">
        <v>19.97</v>
      </c>
      <c r="G107">
        <v>69.41</v>
      </c>
      <c r="H107">
        <v>322.07</v>
      </c>
      <c r="I107">
        <v>4.17</v>
      </c>
      <c r="J107">
        <v>12</v>
      </c>
      <c r="K107">
        <v>70</v>
      </c>
      <c r="L107">
        <v>500</v>
      </c>
      <c r="M107">
        <v>211.24</v>
      </c>
      <c r="N107" s="4">
        <v>10</v>
      </c>
      <c r="O107">
        <v>72</v>
      </c>
      <c r="P107">
        <v>800</v>
      </c>
      <c r="Q107">
        <v>0</v>
      </c>
      <c r="R107">
        <f t="shared" si="15"/>
        <v>9.5</v>
      </c>
      <c r="S107">
        <f t="shared" si="16"/>
        <v>68.399999999999991</v>
      </c>
      <c r="T107">
        <f t="shared" si="17"/>
        <v>760</v>
      </c>
      <c r="U107">
        <f t="shared" si="18"/>
        <v>0</v>
      </c>
    </row>
    <row r="108" spans="1:21" x14ac:dyDescent="0.2">
      <c r="A108" s="2">
        <v>44318</v>
      </c>
      <c r="B108" s="3">
        <v>0.91666666666666696</v>
      </c>
      <c r="C108" s="8" t="str">
        <f t="shared" si="12"/>
        <v>2021-05-02</v>
      </c>
      <c r="D108" s="11" t="str">
        <f t="shared" si="13"/>
        <v>22:00:00</v>
      </c>
      <c r="E108" s="7" t="str">
        <f t="shared" si="14"/>
        <v>2021-05-02 22:00:00</v>
      </c>
      <c r="F108">
        <v>19.97</v>
      </c>
      <c r="G108">
        <v>69.41</v>
      </c>
      <c r="H108">
        <v>323.83</v>
      </c>
      <c r="I108">
        <v>4.17</v>
      </c>
      <c r="J108">
        <v>12</v>
      </c>
      <c r="K108">
        <v>70</v>
      </c>
      <c r="L108">
        <v>500</v>
      </c>
      <c r="M108">
        <v>200.39</v>
      </c>
      <c r="N108" s="4">
        <v>10</v>
      </c>
      <c r="O108">
        <v>72</v>
      </c>
      <c r="P108">
        <v>800</v>
      </c>
      <c r="Q108">
        <v>0</v>
      </c>
      <c r="R108">
        <f t="shared" si="15"/>
        <v>9.5</v>
      </c>
      <c r="S108">
        <f t="shared" si="16"/>
        <v>68.399999999999991</v>
      </c>
      <c r="T108">
        <f t="shared" si="17"/>
        <v>760</v>
      </c>
      <c r="U108">
        <f t="shared" si="18"/>
        <v>0</v>
      </c>
    </row>
    <row r="109" spans="1:21" x14ac:dyDescent="0.2">
      <c r="A109" s="2">
        <v>44318</v>
      </c>
      <c r="B109" s="3">
        <v>0.95833333333333404</v>
      </c>
      <c r="C109" s="8" t="str">
        <f t="shared" si="12"/>
        <v>2021-05-02</v>
      </c>
      <c r="D109" s="11" t="str">
        <f t="shared" si="13"/>
        <v>23:00:00</v>
      </c>
      <c r="E109" s="7" t="str">
        <f t="shared" si="14"/>
        <v>2021-05-02 23:00:00</v>
      </c>
      <c r="F109">
        <v>19.97</v>
      </c>
      <c r="G109">
        <v>69.41</v>
      </c>
      <c r="H109">
        <v>314.08999999999997</v>
      </c>
      <c r="I109">
        <v>2.76</v>
      </c>
      <c r="J109">
        <v>12</v>
      </c>
      <c r="K109">
        <v>70</v>
      </c>
      <c r="L109">
        <v>500</v>
      </c>
      <c r="M109">
        <v>224.24</v>
      </c>
      <c r="N109" s="4">
        <v>10</v>
      </c>
      <c r="O109">
        <v>72</v>
      </c>
      <c r="P109">
        <v>800</v>
      </c>
      <c r="Q109">
        <v>0</v>
      </c>
      <c r="R109">
        <f t="shared" si="15"/>
        <v>9.5</v>
      </c>
      <c r="S109">
        <f t="shared" si="16"/>
        <v>68.399999999999991</v>
      </c>
      <c r="T109">
        <f t="shared" si="17"/>
        <v>760</v>
      </c>
      <c r="U109">
        <f t="shared" si="18"/>
        <v>0</v>
      </c>
    </row>
    <row r="110" spans="1:21" x14ac:dyDescent="0.2">
      <c r="C110" s="1"/>
      <c r="D110" s="1"/>
      <c r="E110" s="1"/>
      <c r="N110" s="4"/>
    </row>
    <row r="111" spans="1:21" x14ac:dyDescent="0.2">
      <c r="N111" s="4"/>
    </row>
    <row r="112" spans="1:21" x14ac:dyDescent="0.2">
      <c r="N112" s="4"/>
    </row>
    <row r="113" spans="14:14" x14ac:dyDescent="0.2">
      <c r="N113" s="4"/>
    </row>
    <row r="114" spans="14:14" x14ac:dyDescent="0.2">
      <c r="N114" s="4"/>
    </row>
    <row r="115" spans="14:14" x14ac:dyDescent="0.2">
      <c r="N115" s="4"/>
    </row>
    <row r="116" spans="14:14" x14ac:dyDescent="0.2">
      <c r="N116" s="4"/>
    </row>
    <row r="117" spans="14:14" x14ac:dyDescent="0.2">
      <c r="N117" s="4"/>
    </row>
    <row r="118" spans="14:14" x14ac:dyDescent="0.2">
      <c r="N118" s="4"/>
    </row>
    <row r="119" spans="14:14" x14ac:dyDescent="0.2">
      <c r="N119" s="4"/>
    </row>
    <row r="120" spans="14:14" x14ac:dyDescent="0.2">
      <c r="N120" s="4"/>
    </row>
    <row r="121" spans="14:14" x14ac:dyDescent="0.2">
      <c r="N1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modified xsi:type="dcterms:W3CDTF">2021-09-20T06:55:50Z</ns1:modified>
</ns0:coreProperties>
</file>