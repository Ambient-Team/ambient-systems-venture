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1. BoM" sheetId="2" r:id="rId5"/>
    <sheet state="visible" name="2. Expenses" sheetId="3" r:id="rId6"/>
    <sheet state="visible" name="3. Pricing" sheetId="4" r:id="rId7"/>
    <sheet state="visible" name="4A. Financial Projections (Base" sheetId="5" r:id="rId8"/>
    <sheet state="visible" name="4B. Financial Projections (Wors" sheetId="6" r:id="rId9"/>
    <sheet state="visible" name="4C. Financial Projections (Best" sheetId="7" r:id="rId10"/>
    <sheet state="visible" name="A. Projections Graph (Baseline)" sheetId="8" r:id="rId11"/>
    <sheet state="visible" name="A. Components" sheetId="9" r:id="rId12"/>
    <sheet state="visible" name="A. Expenses (previous)" sheetId="10" r:id="rId13"/>
  </sheets>
  <definedNames/>
  <calcPr/>
</workbook>
</file>

<file path=xl/sharedStrings.xml><?xml version="1.0" encoding="utf-8"?>
<sst xmlns="http://schemas.openxmlformats.org/spreadsheetml/2006/main" count="380" uniqueCount="254">
  <si>
    <t>Model Overview</t>
  </si>
  <si>
    <t>Sheet</t>
  </si>
  <si>
    <t>Name</t>
  </si>
  <si>
    <t>BoM</t>
  </si>
  <si>
    <t>Expenses</t>
  </si>
  <si>
    <t>Pricing</t>
  </si>
  <si>
    <t>4A</t>
  </si>
  <si>
    <t>Financial Projections (Baseline)</t>
  </si>
  <si>
    <t>4B</t>
  </si>
  <si>
    <t>Financial Projections (Worst)</t>
  </si>
  <si>
    <t>4C</t>
  </si>
  <si>
    <t>Financial Projections (Best)</t>
  </si>
  <si>
    <t>A</t>
  </si>
  <si>
    <t>Projections Graph (Baseline)</t>
  </si>
  <si>
    <t>Components</t>
  </si>
  <si>
    <t>Exenses (previous)</t>
  </si>
  <si>
    <t>1. BoM</t>
  </si>
  <si>
    <t>Component Name</t>
  </si>
  <si>
    <t>Part Number</t>
  </si>
  <si>
    <t>Manufacturer</t>
  </si>
  <si>
    <t>Description</t>
  </si>
  <si>
    <t>Unit Price</t>
  </si>
  <si>
    <t>Supplier</t>
  </si>
  <si>
    <t>Quantity</t>
  </si>
  <si>
    <t>Total</t>
  </si>
  <si>
    <t>Board and microcontroller</t>
  </si>
  <si>
    <t>Arduino Uno Rev3 SMD -- A000066</t>
  </si>
  <si>
    <t>Arduino</t>
  </si>
  <si>
    <t>Board with processor and attachment ports</t>
  </si>
  <si>
    <t>$29.86</t>
  </si>
  <si>
    <t>RS-Online</t>
  </si>
  <si>
    <t>Temperature Sensor</t>
  </si>
  <si>
    <t>MAX31889ALT+</t>
  </si>
  <si>
    <t>Maxim Integrated</t>
  </si>
  <si>
    <t>Board Mount Temperature Sensors 0.1 degrees C accuracy, 1-Wire Temperature Sensor</t>
  </si>
  <si>
    <t>$4.40</t>
  </si>
  <si>
    <t>Mouser</t>
  </si>
  <si>
    <t>Relative Humidity Sensor</t>
  </si>
  <si>
    <t>SHT31-DIS-F2.5kS</t>
  </si>
  <si>
    <t>Sensirion</t>
  </si>
  <si>
    <t>Board Mount Humidity Sensors RH/ T Sensor</t>
  </si>
  <si>
    <t>$9.11</t>
  </si>
  <si>
    <t>CO2 Sensor</t>
  </si>
  <si>
    <t>T6713-6H</t>
  </si>
  <si>
    <t>Amphenol Advanced Sensors</t>
  </si>
  <si>
    <t>Air Quality Sensors CO2 [Team member] for AAS-AQS-UNO</t>
  </si>
  <si>
    <t>$122.54</t>
  </si>
  <si>
    <t>Light Sensor</t>
  </si>
  <si>
    <t>TSL2561T ams</t>
  </si>
  <si>
    <t>ams</t>
  </si>
  <si>
    <t>TSL2561T ams, Ambient Light Sensor Unit Surface Mount 6-Pin TMB</t>
  </si>
  <si>
    <t>$4.41</t>
  </si>
  <si>
    <t>Transceiver</t>
  </si>
  <si>
    <t>LR1110IMLTRT</t>
  </si>
  <si>
    <t>Semtech</t>
  </si>
  <si>
    <t>RF Transceiver LONG RANGE WI-FI LOC LORA TRANSCEIVER</t>
  </si>
  <si>
    <t>$14.93</t>
  </si>
  <si>
    <t>ADCs</t>
  </si>
  <si>
    <t>AD7795BRUZ</t>
  </si>
  <si>
    <t>Analog Devices</t>
  </si>
  <si>
    <t>Analog Devices AD7795BRUZ, 16-Bit Serial ADC Differential Input, 24-Pin TSSOP</t>
  </si>
  <si>
    <t>$16.02</t>
  </si>
  <si>
    <t>Device enclosure</t>
  </si>
  <si>
    <t>NSYTBP342912T</t>
  </si>
  <si>
    <t>Schneider Electric</t>
  </si>
  <si>
    <t>Plastic Enclosure, [Team member], Multipurpose, Polycarbonate, 341 mm, 291 mm, 128 mm, IP66</t>
  </si>
  <si>
    <t>$106.51</t>
  </si>
  <si>
    <t>Element 14</t>
  </si>
  <si>
    <t>Margin of Error (20%)</t>
  </si>
  <si>
    <t>Used in Sheet 2</t>
  </si>
  <si>
    <t>2. Expenses</t>
  </si>
  <si>
    <t>Component</t>
  </si>
  <si>
    <t>Unit</t>
  </si>
  <si>
    <t>Unit Cost</t>
  </si>
  <si>
    <t>Total Cost</t>
  </si>
  <si>
    <t>Variable -- One-time (2 sensors to cover ~30 m^2)</t>
  </si>
  <si>
    <t>Sensor: Combined Temp, RH, CO2, and Light</t>
  </si>
  <si>
    <t>#</t>
  </si>
  <si>
    <t>Mountings</t>
  </si>
  <si>
    <t>Data Cables (e.g., CAT6) and Accessories</t>
  </si>
  <si>
    <t>m</t>
  </si>
  <si>
    <t>Power Cables and Accessories</t>
  </si>
  <si>
    <t xml:space="preserve">Internet connection: Gateways / Routers / Switches </t>
  </si>
  <si>
    <t>Device Assembly</t>
  </si>
  <si>
    <t>hrs</t>
  </si>
  <si>
    <t>Used in Sheet 3</t>
  </si>
  <si>
    <t>Variable -- Ongoing (2 sensors to cover ~30 m^2)</t>
  </si>
  <si>
    <t>Maintenance service</t>
  </si>
  <si>
    <t>monthly fee</t>
  </si>
  <si>
    <t>Data analysis</t>
  </si>
  <si>
    <t>Server costs (cloud computing services)</t>
  </si>
  <si>
    <t>Fixed Costs (Monthly in Year 1)</t>
  </si>
  <si>
    <t>Working Space and Utilities</t>
  </si>
  <si>
    <t>Monthly Rental Fee</t>
  </si>
  <si>
    <t>Front-end Design and Development (UX/UI for web and mobile)</t>
  </si>
  <si>
    <t>Application Server Development (Database and [Team member] model)</t>
  </si>
  <si>
    <t>IoT Device Development (Device Assembly and Firmware Programming)</t>
  </si>
  <si>
    <t>Marketing Agency</t>
  </si>
  <si>
    <t>Working Equipment (e.g., MVP studio equipment rental)</t>
  </si>
  <si>
    <t>IP Development and Licensing</t>
  </si>
  <si>
    <t>Monthly Fee</t>
  </si>
  <si>
    <t>Team: Senior Engineer (Electrical/Electronics/Mechanical)</t>
  </si>
  <si>
    <t>Monthly salary</t>
  </si>
  <si>
    <t>Team: Senior Software Engineer</t>
  </si>
  <si>
    <t>Team: Business Development Associate</t>
  </si>
  <si>
    <t>Monthly</t>
  </si>
  <si>
    <t>Annual</t>
  </si>
  <si>
    <t>3. Pricing</t>
  </si>
  <si>
    <t>Inputs</t>
  </si>
  <si>
    <t xml:space="preserve">Product lifetime in months (3 yrs = 36 months) </t>
  </si>
  <si>
    <t>Technician Hourly Cost</t>
  </si>
  <si>
    <t>Internal Hourly Personnel Cost</t>
  </si>
  <si>
    <t>Pricing Comparison</t>
  </si>
  <si>
    <t>Value Stream</t>
  </si>
  <si>
    <t>Value Component</t>
  </si>
  <si>
    <t>InteliClimate</t>
  </si>
  <si>
    <t>Ambient</t>
  </si>
  <si>
    <t>Implementation Value</t>
  </si>
  <si>
    <t>Hardware</t>
  </si>
  <si>
    <t>Installation
(24 hrs * technician hourly cost)</t>
  </si>
  <si>
    <t>Operational Value</t>
  </si>
  <si>
    <t>Data Management 
(1 day / month * 36 months * internal hourly cost)</t>
  </si>
  <si>
    <t>System Maintenance
(10% of Implementation Value * 5 years)</t>
  </si>
  <si>
    <t>Use Case Specific Value</t>
  </si>
  <si>
    <t>Higher Yield</t>
  </si>
  <si>
    <t>TBD</t>
  </si>
  <si>
    <t>More Accurate Harvest Time Prediction</t>
  </si>
  <si>
    <t>Higher Quality</t>
  </si>
  <si>
    <t>Lifetime Value</t>
  </si>
  <si>
    <t>Cost per m2</t>
  </si>
  <si>
    <t>Used in Sheet 4</t>
  </si>
  <si>
    <t>COGS Estimate</t>
  </si>
  <si>
    <t>A: area of 1 farming unit (l*w = 12.19 * 2.44) (m^2)</t>
  </si>
  <si>
    <t>B: COGS (from sheet 2. Expenses)</t>
  </si>
  <si>
    <t>C = B/A: $ / m2</t>
  </si>
  <si>
    <t>Benchmark</t>
  </si>
  <si>
    <t>Hardware Only</t>
  </si>
  <si>
    <t>Installation</t>
  </si>
  <si>
    <t>Maintenance 
(10% of Hardware + Installation)</t>
  </si>
  <si>
    <t>Data Management</t>
  </si>
  <si>
    <t>Price per 1 unit (30 m2)</t>
  </si>
  <si>
    <t>N/A</t>
  </si>
  <si>
    <t>Price for 10 units (300 m2)</t>
  </si>
  <si>
    <t>Price for 200 units (6000 m2)</t>
  </si>
  <si>
    <t>Price per 1 unit
(30 m2)</t>
  </si>
  <si>
    <t>Price for 10 units 
(300 m2)</t>
  </si>
  <si>
    <t>Price for 200 units 
(6000 m2)</t>
  </si>
  <si>
    <t xml:space="preserve">Data Management </t>
  </si>
  <si>
    <t>System Maintenance</t>
  </si>
  <si>
    <t>Financial Projections</t>
  </si>
  <si>
    <t>4. Financial Projections</t>
  </si>
  <si>
    <t>Product price ($/m^2)</t>
  </si>
  <si>
    <t>Product COGS ($/m^2)</t>
  </si>
  <si>
    <t>Discount Rate</t>
  </si>
  <si>
    <t>Year 1</t>
  </si>
  <si>
    <t>Year 2</t>
  </si>
  <si>
    <t>Year 3</t>
  </si>
  <si>
    <t>Year 4</t>
  </si>
  <si>
    <t>Year 5</t>
  </si>
  <si>
    <t>Revenue</t>
  </si>
  <si>
    <t>Area under management (m2)</t>
  </si>
  <si>
    <t>minus Cost of Goods Sold</t>
  </si>
  <si>
    <t>Gross Margin</t>
  </si>
  <si>
    <t>Profit &amp; Loss = Net Cash Flow</t>
  </si>
  <si>
    <t>[Team member]</t>
  </si>
  <si>
    <t>Valuation (NPV)</t>
  </si>
  <si>
    <t>Approximate Cost</t>
  </si>
  <si>
    <t>Link</t>
  </si>
  <si>
    <t>Micro-Processor or Micro-Controller Options (i.e., "the board" or "platform")</t>
  </si>
  <si>
    <t>Arduino Uno</t>
  </si>
  <si>
    <t>https://www.tertiaryrobotics.com/the-arduino-starter-kit-official-kit-from-arduino.html</t>
  </si>
  <si>
    <t>Arduino Mega</t>
  </si>
  <si>
    <t>Arduino Zero</t>
  </si>
  <si>
    <t>https://store.arduino.cc/arduino-zero</t>
  </si>
  <si>
    <t>ESP32</t>
  </si>
  <si>
    <t>https://www.sgbotic.com/index.php?dispatch=products.view&amp;product_id=2550</t>
  </si>
  <si>
    <t>ESP8266</t>
  </si>
  <si>
    <t>https://www.espressif.com/en/products/devkits</t>
  </si>
  <si>
    <t>STM32F</t>
  </si>
  <si>
    <t>[Team member]</t>
  </si>
  <si>
    <t>TelosB/Tmote</t>
  </si>
  <si>
    <t>Firefly</t>
  </si>
  <si>
    <t>Intel Edison</t>
  </si>
  <si>
    <t>Beagle bone</t>
  </si>
  <si>
    <t>Alexa [Team member] (ACK) (Arduino Based)</t>
  </si>
  <si>
    <t>https://developer.amazon.com/en-US/alexa/connected-devices/alexa-connect-kit/dev-kits</t>
  </si>
  <si>
    <t>Temperature Sensor Options</t>
  </si>
  <si>
    <t xml:space="preserve">MAX31889ALT+ </t>
  </si>
  <si>
    <t>https://www.mouser.sg/ProductDetail/Maxim-Integrated/MAX31889ALT%2b?qs=sGAEpiMZZMunegBHAOsZD6IeE3ewcT7uXAYTTv7QV3jnb20zCrwRdg%3D%3D</t>
  </si>
  <si>
    <t>Humidity Sensor Options</t>
  </si>
  <si>
    <t>https://www.mouser.sg/ProductDetail/Sensirion/SHT31-DIS-F25kS?qs=SiS427jF8nOsxbyIRpupXg%3D%3D</t>
  </si>
  <si>
    <t>Air Quality Sensor (CO2) Options</t>
  </si>
  <si>
    <t>527-T6713-6H</t>
  </si>
  <si>
    <t>$122</t>
  </si>
  <si>
    <t>https://www.mouser.sg/ProductDetail/Amphenol-Advanced-Sensors/T6713-6H?qs=y%2FafN2TeCurWSLpbUp60Jg%3D%3D</t>
  </si>
  <si>
    <t xml:space="preserve">T3031-2-5K-24-P </t>
  </si>
  <si>
    <t>$411.13</t>
  </si>
  <si>
    <t>https://www.mouser.sg/ProductDetail/Amphenol-Advanced-Sensors/T3031-2-5K-24-P?qs=8BXZADTIn4FgVeH26vrHKw%3D%3D</t>
  </si>
  <si>
    <t>T6615-10K</t>
  </si>
  <si>
    <t>$158.51</t>
  </si>
  <si>
    <t>https://sg.element14.com/amphenol-advanced-sensors/t6615-10k/sensor-co2-sensor-0-10000ppm/dp/2472292</t>
  </si>
  <si>
    <t>Transciever</t>
  </si>
  <si>
    <t xml:space="preserve">LR1110IMLTRT </t>
  </si>
  <si>
    <t>https://www.mouser.sg/ProductDetail/Semtech/LR1110IMLTRT?qs=GedFDFLaBXFCcMA0cJwOqg%3D%3D</t>
  </si>
  <si>
    <t>Enclosures</t>
  </si>
  <si>
    <t>https://sg.element14.com/schneider-electric/nsytbp342912t/industrial-box-wall-mnt-pc-gry/dp/2499441</t>
  </si>
  <si>
    <t>https://sg.rs-online.com/web/p/ambient-light-sensors/1700785/</t>
  </si>
  <si>
    <t>https://sg.rs-online.com/web/p/general-purpose-adcs/7096679/</t>
  </si>
  <si>
    <t>Available Products</t>
  </si>
  <si>
    <t>Controller</t>
  </si>
  <si>
    <t>Company</t>
  </si>
  <si>
    <t>Cost</t>
  </si>
  <si>
    <t>IntelliClimate</t>
  </si>
  <si>
    <t>Autogrow</t>
  </si>
  <si>
    <t>https://autogrow.com/products/intelliclimate</t>
  </si>
  <si>
    <t>$2200</t>
  </si>
  <si>
    <t>Spartan Series</t>
  </si>
  <si>
    <t>Titan Controls</t>
  </si>
  <si>
    <t>https://hydrobuilder.com/grow-room-environment/atmosphere-controllers/titan-controls-spartan-series-basic-digital-environmental-controller-temperature-co2-timer-and-humidity.html</t>
  </si>
  <si>
    <t>$2100</t>
  </si>
  <si>
    <t>Hydro-X Environmental Control System</t>
  </si>
  <si>
    <t>TrolMaster</t>
  </si>
  <si>
    <t>https://www.trolmaster.com/Learning/Index/3</t>
  </si>
  <si>
    <t>$3100</t>
  </si>
  <si>
    <t>Eclipse F90</t>
  </si>
  <si>
    <t>Autopilot</t>
  </si>
  <si>
    <t>http://www.autopilotcontrollers.com/Environmental-and-Master-Controllers</t>
  </si>
  <si>
    <t>$2500</t>
  </si>
  <si>
    <t>NIDO ONE</t>
  </si>
  <si>
    <t>Nido</t>
  </si>
  <si>
    <t>https://www.nidopro.com/en/prodotto/nido-one/</t>
  </si>
  <si>
    <t>Requirements:</t>
  </si>
  <si>
    <t>Easily connected with existing systems</t>
  </si>
  <si>
    <t>Consists of central shared controller</t>
  </si>
  <si>
    <t>Controller communicates with sensors and router</t>
  </si>
  <si>
    <t>Router sends data to the cloud application by the internet</t>
  </si>
  <si>
    <t>Suppliers:</t>
  </si>
  <si>
    <t>https://www.mouser.sg/Sensors/Environmental-Sensors/_/N-axfl1</t>
  </si>
  <si>
    <t>https://ph.parker.com/sg/en/sensors</t>
  </si>
  <si>
    <t>https://sg.element14.com/c/sensors-transducers/sensors/environmental-sensors/humidity-sensors</t>
  </si>
  <si>
    <t>https://www.monotaro.sg/catalogsearch/result/index/?p=2&amp;q=Humidity+sensor</t>
  </si>
  <si>
    <t>https://towardsdatascience.com/a-comprehensive-guide-to-start-building-an-iot-product-ba32dfb91c7a</t>
  </si>
  <si>
    <t>https://www.hackerearth.com/blog/developers/a-tour-of-the-arduino-uno-board/</t>
  </si>
  <si>
    <t>https://hydrobuilder.com/grow-room-environment/atmosphere-controllers.html</t>
  </si>
  <si>
    <t>https://growdaddycanada.com/collections/environment-controllers</t>
  </si>
  <si>
    <t>https://www.htgsupply.com/product-category/controllers-meters/grow-room-controllers-automation/</t>
  </si>
  <si>
    <t>https://www.camdenboss.com/iot-industrial-enclosures/</t>
  </si>
  <si>
    <t>https://sg.rs-online.com/web/</t>
  </si>
  <si>
    <t>Variable</t>
  </si>
  <si>
    <t>Gateways / Routers / Switches (Internet connection)</t>
  </si>
  <si>
    <t>Other hardware: CCTV system</t>
  </si>
  <si>
    <t>Technician Contractors (Electrical/Mechanical)</t>
  </si>
  <si>
    <t>Cloud computing software subscriptions</t>
  </si>
  <si>
    <t>monthly usage bill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</si>
</sst>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[$$]#,##0"/>
    <numFmt numFmtId="166" formatCode="[$£-809]#,##0.00"/>
  </numFmts>
  <fonts count="12">
    <font>
      <sz val="10.0"/>
      <color rgb="FF000000"/>
      <name val="Arial"/>
    </font>
    <font>
      <color theme="1"/>
      <name val="Arial"/>
    </font>
    <font>
      <b/>
      <color theme="1"/>
      <name val="Arial"/>
    </font>
    <font>
      <u/>
      <color rgb="FF0000FF"/>
    </font>
    <font/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u/>
      <color rgb="FF0000FF"/>
    </font>
    <font>
      <u/>
      <color rgb="FF1155CC"/>
    </font>
    <font>
      <u/>
      <color rgb="FF1155CC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164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1" numFmtId="164" xfId="0" applyFont="1" applyNumberFormat="1"/>
    <xf borderId="0" fillId="2" fontId="2" numFmtId="164" xfId="0" applyFill="1" applyFont="1" applyNumberFormat="1"/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2" numFmtId="164" xfId="0" applyFont="1" applyNumberFormat="1"/>
    <xf borderId="0" fillId="0" fontId="1" numFmtId="0" xfId="0" applyAlignment="1" applyFont="1">
      <alignment horizontal="right" readingOrder="0"/>
    </xf>
    <xf borderId="1" fillId="3" fontId="1" numFmtId="0" xfId="0" applyAlignment="1" applyBorder="1" applyFill="1" applyFont="1">
      <alignment horizontal="center" readingOrder="0"/>
    </xf>
    <xf borderId="1" fillId="3" fontId="1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1" fillId="3" fontId="1" numFmtId="164" xfId="0" applyAlignment="1" applyBorder="1" applyFont="1" applyNumberFormat="1">
      <alignment horizontal="center" readingOrder="0" vertical="center"/>
    </xf>
    <xf borderId="6" fillId="0" fontId="4" numFmtId="0" xfId="0" applyBorder="1" applyFont="1"/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wrapText="1"/>
    </xf>
    <xf borderId="7" fillId="0" fontId="4" numFmtId="0" xfId="0" applyBorder="1" applyFont="1"/>
    <xf borderId="0" fillId="0" fontId="2" numFmtId="0" xfId="0" applyAlignment="1" applyFont="1">
      <alignment horizontal="right" readingOrder="0"/>
    </xf>
    <xf borderId="1" fillId="0" fontId="2" numFmtId="0" xfId="0" applyAlignment="1" applyBorder="1" applyFont="1">
      <alignment horizontal="right" readingOrder="0"/>
    </xf>
    <xf borderId="1" fillId="0" fontId="2" numFmtId="164" xfId="0" applyAlignment="1" applyBorder="1" applyFont="1" applyNumberFormat="1">
      <alignment horizontal="right"/>
    </xf>
    <xf borderId="1" fillId="0" fontId="2" numFmtId="164" xfId="0" applyBorder="1" applyFont="1" applyNumberFormat="1"/>
    <xf borderId="1" fillId="2" fontId="2" numFmtId="164" xfId="0" applyBorder="1" applyFont="1" applyNumberFormat="1"/>
    <xf borderId="1" fillId="3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1" fillId="0" fontId="1" numFmtId="164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/>
    </xf>
    <xf borderId="0" fillId="0" fontId="5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6" numFmtId="0" xfId="0" applyFont="1"/>
    <xf borderId="0" fillId="0" fontId="7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1" fillId="3" fontId="6" numFmtId="164" xfId="0" applyAlignment="1" applyBorder="1" applyFont="1" applyNumberFormat="1">
      <alignment readingOrder="0"/>
    </xf>
    <xf borderId="1" fillId="0" fontId="0" numFmtId="0" xfId="0" applyAlignment="1" applyBorder="1" applyFont="1">
      <alignment readingOrder="0" shrinkToFit="0" vertical="bottom" wrapText="0"/>
    </xf>
    <xf borderId="1" fillId="3" fontId="0" numFmtId="164" xfId="0" applyAlignment="1" applyBorder="1" applyFont="1" applyNumberFormat="1">
      <alignment readingOrder="0" shrinkToFit="0" vertical="bottom" wrapText="0"/>
    </xf>
    <xf borderId="1" fillId="3" fontId="0" numFmtId="10" xfId="0" applyAlignment="1" applyBorder="1" applyFont="1" applyNumberFormat="1">
      <alignment readingOrder="0" shrinkToFit="0" vertical="bottom" wrapText="0"/>
    </xf>
    <xf borderId="1" fillId="0" fontId="0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0" numFmtId="165" xfId="0" applyAlignment="1" applyBorder="1" applyFont="1" applyNumberFormat="1">
      <alignment horizontal="right" readingOrder="0" shrinkToFit="0" vertical="bottom" wrapText="0"/>
    </xf>
    <xf borderId="1" fillId="3" fontId="0" numFmtId="165" xfId="0" applyAlignment="1" applyBorder="1" applyFont="1" applyNumberForma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165" xfId="0" applyAlignment="1" applyFont="1" applyNumberFormat="1">
      <alignment shrinkToFit="0" vertical="bottom" wrapText="0"/>
    </xf>
    <xf borderId="1" fillId="0" fontId="0" numFmtId="165" xfId="0" applyAlignment="1" applyBorder="1" applyFont="1" applyNumberFormat="1">
      <alignment shrinkToFit="0" vertical="bottom" wrapText="0"/>
    </xf>
    <xf borderId="1" fillId="0" fontId="7" numFmtId="0" xfId="0" applyAlignment="1" applyBorder="1" applyFont="1">
      <alignment readingOrder="0"/>
    </xf>
    <xf borderId="1" fillId="0" fontId="6" numFmtId="165" xfId="0" applyBorder="1" applyFont="1" applyNumberFormat="1"/>
    <xf borderId="0" fillId="0" fontId="6" numFmtId="165" xfId="0" applyFont="1" applyNumberFormat="1"/>
    <xf borderId="1" fillId="0" fontId="0" numFmtId="164" xfId="0" applyAlignment="1" applyBorder="1" applyFont="1" applyNumberFormat="1">
      <alignment horizontal="right" readingOrder="0" shrinkToFit="0" vertical="bottom" wrapText="0"/>
    </xf>
    <xf borderId="1" fillId="3" fontId="0" numFmtId="0" xfId="0" applyAlignment="1" applyBorder="1" applyFont="1">
      <alignment horizontal="right" readingOrder="0" shrinkToFit="0" vertical="bottom" wrapText="0"/>
    </xf>
    <xf borderId="1" fillId="0" fontId="0" numFmtId="164" xfId="0" applyAlignment="1" applyBorder="1" applyFont="1" applyNumberFormat="1">
      <alignment shrinkToFit="0" vertical="bottom" wrapText="0"/>
    </xf>
    <xf borderId="1" fillId="0" fontId="6" numFmtId="164" xfId="0" applyBorder="1" applyFont="1" applyNumberFormat="1"/>
    <xf borderId="0" fillId="0" fontId="1" numFmtId="0" xfId="0" applyAlignment="1" applyFont="1">
      <alignment shrinkToFit="0" wrapText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readingOrder="0" shrinkToFit="0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0"/>
    </xf>
    <xf borderId="1" fillId="0" fontId="1" numFmtId="166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1" fillId="0" fontId="9" numFmtId="0" xfId="0" applyAlignment="1" applyBorder="1" applyFont="1">
      <alignment readingOrder="0" shrinkToFit="0" wrapText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chartsheet" Target="chartsheets/sheet1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Revenue, Area under management (m2), minus Cost of Goods Sold and Gross Margin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'4A. Financial Projections (Base'!$B$10</c:f>
            </c:strRef>
          </c:tx>
          <c:spPr>
            <a:solidFill>
              <a:schemeClr val="accent1">
                <a:alpha val="30000"/>
              </a:schemeClr>
            </a:solidFill>
            <a:ln cmpd="sng" w="19050">
              <a:solidFill>
                <a:srgbClr val="4285F4"/>
              </a:solidFill>
            </a:ln>
          </c:spPr>
          <c:cat>
            <c:strRef>
              <c:f>'4A. Financial Projections (Base'!$C$9:$G$9</c:f>
            </c:strRef>
          </c:cat>
          <c:val>
            <c:numRef>
              <c:f>'4A. Financial Projections (Base'!$C$10:$G$10</c:f>
              <c:numCache/>
            </c:numRef>
          </c:val>
        </c:ser>
        <c:ser>
          <c:idx val="1"/>
          <c:order val="1"/>
          <c:tx>
            <c:strRef>
              <c:f>'4A. Financial Projections (Base'!$B$13</c:f>
            </c:strRef>
          </c:tx>
          <c:spPr>
            <a:solidFill>
              <a:schemeClr val="accent2">
                <a:alpha val="30000"/>
              </a:schemeClr>
            </a:solidFill>
            <a:ln cmpd="sng" w="19050">
              <a:solidFill>
                <a:srgbClr val="EA4335"/>
              </a:solidFill>
            </a:ln>
          </c:spPr>
          <c:cat>
            <c:strRef>
              <c:f>'4A. Financial Projections (Base'!$C$9:$G$9</c:f>
            </c:strRef>
          </c:cat>
          <c:val>
            <c:numRef>
              <c:f>'4A. Financial Projections (Base'!$C$13:$G$13</c:f>
              <c:numCache/>
            </c:numRef>
          </c:val>
        </c:ser>
        <c:ser>
          <c:idx val="2"/>
          <c:order val="2"/>
          <c:tx>
            <c:strRef>
              <c:f>'4A. Financial Projections (Base'!$B$18</c:f>
            </c:strRef>
          </c:tx>
          <c:spPr>
            <a:solidFill>
              <a:srgbClr val="6AA84F">
                <a:alpha val="30000"/>
              </a:srgbClr>
            </a:solidFill>
            <a:ln cmpd="sng" w="19050">
              <a:solidFill>
                <a:srgbClr val="6AA84F"/>
              </a:solidFill>
            </a:ln>
          </c:spPr>
          <c:cat>
            <c:strRef>
              <c:f>'4A. Financial Projections (Base'!$C$9:$G$9</c:f>
            </c:strRef>
          </c:cat>
          <c:val>
            <c:numRef>
              <c:f>'4A. Financial Projections (Base'!$C$18:$G$18</c:f>
              <c:numCache/>
            </c:numRef>
          </c:val>
        </c:ser>
        <c:axId val="632845129"/>
        <c:axId val="220029608"/>
      </c:areaChart>
      <c:catAx>
        <c:axId val="632845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0029608"/>
      </c:catAx>
      <c:valAx>
        <c:axId val="220029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8451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user.sg/manufacturer/amphenol-advanced-sensors/" TargetMode="External"/><Relationship Id="rId2" Type="http://schemas.openxmlformats.org/officeDocument/2006/relationships/hyperlink" Target="https://www.mouser.sg/manufacturer/semtech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ouser.sg/Sensors/Environmental-Sensors/_/N-axfl1" TargetMode="External"/><Relationship Id="rId22" Type="http://schemas.openxmlformats.org/officeDocument/2006/relationships/hyperlink" Target="https://sg.element14.com/c/sensors-transducers/sensors/environmental-sensors/humidity-sensors" TargetMode="External"/><Relationship Id="rId21" Type="http://schemas.openxmlformats.org/officeDocument/2006/relationships/hyperlink" Target="https://ph.parker.com/sg/en/sensors" TargetMode="External"/><Relationship Id="rId24" Type="http://schemas.openxmlformats.org/officeDocument/2006/relationships/hyperlink" Target="https://towardsdatascience.com/a-comprehensive-guide-to-start-building-an-iot-product-ba32dfb91c7a" TargetMode="External"/><Relationship Id="rId23" Type="http://schemas.openxmlformats.org/officeDocument/2006/relationships/hyperlink" Target="https://www.monotaro.sg/catalogsearch/result/index/?p=2&amp;q=Humidity+sensor" TargetMode="External"/><Relationship Id="rId1" Type="http://schemas.openxmlformats.org/officeDocument/2006/relationships/hyperlink" Target="https://www.tertiaryrobotics.com/the-arduino-starter-kit-official-kit-from-arduino.html" TargetMode="External"/><Relationship Id="rId2" Type="http://schemas.openxmlformats.org/officeDocument/2006/relationships/hyperlink" Target="https://store.arduino.cc/arduino-zero" TargetMode="External"/><Relationship Id="rId3" Type="http://schemas.openxmlformats.org/officeDocument/2006/relationships/hyperlink" Target="https://www.sgbotic.com/index.php?dispatch=products.view&amp;product_id=2550" TargetMode="External"/><Relationship Id="rId4" Type="http://schemas.openxmlformats.org/officeDocument/2006/relationships/hyperlink" Target="https://www.espressif.com/en/products/devkits" TargetMode="External"/><Relationship Id="rId9" Type="http://schemas.openxmlformats.org/officeDocument/2006/relationships/hyperlink" Target="https://www.mouser.sg/ProductDetail/Amphenol-Advanced-Sensors/T3031-2-5K-24-P?qs=8BXZADTIn4FgVeH26vrHKw%3D%3D" TargetMode="External"/><Relationship Id="rId26" Type="http://schemas.openxmlformats.org/officeDocument/2006/relationships/hyperlink" Target="https://hydrobuilder.com/grow-room-environment/atmosphere-controllers.html" TargetMode="External"/><Relationship Id="rId25" Type="http://schemas.openxmlformats.org/officeDocument/2006/relationships/hyperlink" Target="https://www.hackerearth.com/blog/developers/a-tour-of-the-arduino-uno-board/" TargetMode="External"/><Relationship Id="rId28" Type="http://schemas.openxmlformats.org/officeDocument/2006/relationships/hyperlink" Target="https://www.htgsupply.com/product-category/controllers-meters/grow-room-controllers-automation/" TargetMode="External"/><Relationship Id="rId27" Type="http://schemas.openxmlformats.org/officeDocument/2006/relationships/hyperlink" Target="https://growdaddycanada.com/collections/environment-controllers" TargetMode="External"/><Relationship Id="rId5" Type="http://schemas.openxmlformats.org/officeDocument/2006/relationships/hyperlink" Target="https://developer.amazon.com/en-US/alexa/connected-devices/alexa-connect-kit/dev-kits" TargetMode="External"/><Relationship Id="rId6" Type="http://schemas.openxmlformats.org/officeDocument/2006/relationships/hyperlink" Target="https://www.mouser.sg/ProductDetail/Maxim-Integrated/MAX31889ALT%2b?qs=sGAEpiMZZMunegBHAOsZD6IeE3ewcT7uXAYTTv7QV3jnb20zCrwRdg%3D%3D" TargetMode="External"/><Relationship Id="rId29" Type="http://schemas.openxmlformats.org/officeDocument/2006/relationships/hyperlink" Target="https://www.camdenboss.com/iot-industrial-enclosures/" TargetMode="External"/><Relationship Id="rId7" Type="http://schemas.openxmlformats.org/officeDocument/2006/relationships/hyperlink" Target="https://www.mouser.sg/ProductDetail/Sensirion/SHT31-DIS-F25kS?qs=SiS427jF8nOsxbyIRpupXg%3D%3D" TargetMode="External"/><Relationship Id="rId8" Type="http://schemas.openxmlformats.org/officeDocument/2006/relationships/hyperlink" Target="https://www.mouser.sg/ProductDetail/Amphenol-Advanced-Sensors/T6713-6H?qs=y%2FafN2TeCurWSLpbUp60Jg%3D%3D" TargetMode="External"/><Relationship Id="rId31" Type="http://schemas.openxmlformats.org/officeDocument/2006/relationships/drawing" Target="../drawings/drawing9.xml"/><Relationship Id="rId30" Type="http://schemas.openxmlformats.org/officeDocument/2006/relationships/hyperlink" Target="https://sg.rs-online.com/web/" TargetMode="External"/><Relationship Id="rId11" Type="http://schemas.openxmlformats.org/officeDocument/2006/relationships/hyperlink" Target="https://www.mouser.sg/ProductDetail/Semtech/LR1110IMLTRT?qs=GedFDFLaBXFCcMA0cJwOqg%3D%3D" TargetMode="External"/><Relationship Id="rId10" Type="http://schemas.openxmlformats.org/officeDocument/2006/relationships/hyperlink" Target="https://sg.element14.com/amphenol-advanced-sensors/t6615-10k/sensor-co2-sensor-0-10000ppm/dp/2472292" TargetMode="External"/><Relationship Id="rId13" Type="http://schemas.openxmlformats.org/officeDocument/2006/relationships/hyperlink" Target="https://sg.rs-online.com/web/p/ambient-light-sensors/1700785/" TargetMode="External"/><Relationship Id="rId12" Type="http://schemas.openxmlformats.org/officeDocument/2006/relationships/hyperlink" Target="https://sg.element14.com/schneider-electric/nsytbp342912t/industrial-box-wall-mnt-pc-gry/dp/2499441" TargetMode="External"/><Relationship Id="rId15" Type="http://schemas.openxmlformats.org/officeDocument/2006/relationships/hyperlink" Target="https://autogrow.com/products/intelliclimate" TargetMode="External"/><Relationship Id="rId14" Type="http://schemas.openxmlformats.org/officeDocument/2006/relationships/hyperlink" Target="https://sg.rs-online.com/web/p/general-purpose-adcs/7096679/" TargetMode="External"/><Relationship Id="rId17" Type="http://schemas.openxmlformats.org/officeDocument/2006/relationships/hyperlink" Target="https://www.trolmaster.com/Learning/Index/3" TargetMode="External"/><Relationship Id="rId16" Type="http://schemas.openxmlformats.org/officeDocument/2006/relationships/hyperlink" Target="https://hydrobuilder.com/grow-room-environment/atmosphere-controllers/titan-controls-spartan-series-basic-digital-environmental-controller-temperature-co2-timer-and-humidity.html" TargetMode="External"/><Relationship Id="rId19" Type="http://schemas.openxmlformats.org/officeDocument/2006/relationships/hyperlink" Target="https://www.nidopro.com/en/prodotto/nido-one/" TargetMode="External"/><Relationship Id="rId18" Type="http://schemas.openxmlformats.org/officeDocument/2006/relationships/hyperlink" Target="http://www.autopilotcontrollers.com/Environmental-and-Master-Controllers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4.0"/>
    <col customWidth="1" min="3" max="3" width="32.43"/>
  </cols>
  <sheetData>
    <row r="2">
      <c r="B2" s="1" t="s">
        <v>0</v>
      </c>
    </row>
    <row r="4">
      <c r="A4" s="2"/>
      <c r="B4" s="3" t="s">
        <v>1</v>
      </c>
      <c r="C4" s="3" t="s">
        <v>2</v>
      </c>
    </row>
    <row r="5">
      <c r="A5" s="2"/>
      <c r="B5" s="4">
        <v>1.0</v>
      </c>
      <c r="C5" s="4" t="s">
        <v>3</v>
      </c>
    </row>
    <row r="6">
      <c r="A6" s="2"/>
      <c r="B6" s="4">
        <v>2.0</v>
      </c>
      <c r="C6" s="4" t="s">
        <v>4</v>
      </c>
    </row>
    <row r="7">
      <c r="A7" s="2"/>
      <c r="B7" s="4">
        <v>3.0</v>
      </c>
      <c r="C7" s="4" t="s">
        <v>5</v>
      </c>
    </row>
    <row r="8">
      <c r="A8" s="2"/>
      <c r="B8" s="4" t="s">
        <v>6</v>
      </c>
      <c r="C8" s="4" t="s">
        <v>7</v>
      </c>
    </row>
    <row r="9">
      <c r="A9" s="2"/>
      <c r="B9" s="4" t="s">
        <v>8</v>
      </c>
      <c r="C9" s="4" t="s">
        <v>9</v>
      </c>
    </row>
    <row r="10">
      <c r="A10" s="2"/>
      <c r="B10" s="4" t="s">
        <v>10</v>
      </c>
      <c r="C10" s="4" t="s">
        <v>11</v>
      </c>
    </row>
    <row r="11">
      <c r="A11" s="2"/>
      <c r="B11" s="4" t="s">
        <v>12</v>
      </c>
      <c r="C11" s="4" t="s">
        <v>13</v>
      </c>
    </row>
    <row r="12">
      <c r="A12" s="2"/>
      <c r="B12" s="4" t="s">
        <v>12</v>
      </c>
      <c r="C12" s="4" t="s">
        <v>14</v>
      </c>
    </row>
    <row r="13">
      <c r="A13" s="2"/>
      <c r="B13" s="4" t="s">
        <v>12</v>
      </c>
      <c r="C13" s="4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6.14"/>
    <col customWidth="1" min="3" max="3" width="21.29"/>
    <col customWidth="1" min="8" max="8" width="19.29"/>
  </cols>
  <sheetData>
    <row r="1">
      <c r="A1" s="5"/>
      <c r="B1" s="5" t="s">
        <v>16</v>
      </c>
    </row>
    <row r="3">
      <c r="A3" s="6"/>
      <c r="B3" s="7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8" t="s">
        <v>24</v>
      </c>
    </row>
    <row r="4">
      <c r="A4" s="9"/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0">
        <v>2.0</v>
      </c>
      <c r="I4" s="11">
        <v>59.72</v>
      </c>
    </row>
    <row r="5">
      <c r="A5" s="9"/>
      <c r="B5" s="10" t="s">
        <v>31</v>
      </c>
      <c r="C5" s="10" t="s">
        <v>32</v>
      </c>
      <c r="D5" s="10" t="s">
        <v>33</v>
      </c>
      <c r="E5" s="10" t="s">
        <v>34</v>
      </c>
      <c r="F5" s="10" t="s">
        <v>35</v>
      </c>
      <c r="G5" s="10" t="s">
        <v>36</v>
      </c>
      <c r="H5" s="10">
        <v>2.0</v>
      </c>
      <c r="I5" s="11">
        <v>8.8</v>
      </c>
    </row>
    <row r="6">
      <c r="A6" s="9"/>
      <c r="B6" s="10" t="s">
        <v>37</v>
      </c>
      <c r="C6" s="10" t="s">
        <v>38</v>
      </c>
      <c r="D6" s="10" t="s">
        <v>39</v>
      </c>
      <c r="E6" s="10" t="s">
        <v>40</v>
      </c>
      <c r="F6" s="10" t="s">
        <v>41</v>
      </c>
      <c r="G6" s="10" t="s">
        <v>36</v>
      </c>
      <c r="H6" s="10">
        <v>2.0</v>
      </c>
      <c r="I6" s="11">
        <v>18.22</v>
      </c>
    </row>
    <row r="7">
      <c r="A7" s="9"/>
      <c r="B7" s="10" t="s">
        <v>42</v>
      </c>
      <c r="C7" s="10" t="s">
        <v>43</v>
      </c>
      <c r="D7" s="12" t="s">
        <v>44</v>
      </c>
      <c r="E7" s="10" t="s">
        <v>45</v>
      </c>
      <c r="F7" s="10" t="s">
        <v>46</v>
      </c>
      <c r="G7" s="10" t="s">
        <v>36</v>
      </c>
      <c r="H7" s="10">
        <v>2.0</v>
      </c>
      <c r="I7" s="11">
        <v>245.08</v>
      </c>
    </row>
    <row r="8">
      <c r="A8" s="9"/>
      <c r="B8" s="10" t="s">
        <v>47</v>
      </c>
      <c r="C8" s="10" t="s">
        <v>48</v>
      </c>
      <c r="D8" s="10" t="s">
        <v>49</v>
      </c>
      <c r="E8" s="10" t="s">
        <v>50</v>
      </c>
      <c r="F8" s="10" t="s">
        <v>51</v>
      </c>
      <c r="G8" s="10" t="s">
        <v>30</v>
      </c>
      <c r="H8" s="10">
        <v>2.0</v>
      </c>
      <c r="I8" s="11">
        <v>8.82</v>
      </c>
    </row>
    <row r="9">
      <c r="A9" s="9"/>
      <c r="B9" s="10" t="s">
        <v>52</v>
      </c>
      <c r="C9" s="10" t="s">
        <v>53</v>
      </c>
      <c r="D9" s="12" t="s">
        <v>54</v>
      </c>
      <c r="E9" s="10" t="s">
        <v>55</v>
      </c>
      <c r="F9" s="10" t="s">
        <v>56</v>
      </c>
      <c r="G9" s="10" t="s">
        <v>36</v>
      </c>
      <c r="H9" s="10">
        <v>2.0</v>
      </c>
      <c r="I9" s="11">
        <v>29.86</v>
      </c>
    </row>
    <row r="10">
      <c r="A10" s="9"/>
      <c r="B10" s="10" t="s">
        <v>57</v>
      </c>
      <c r="C10" s="10" t="s">
        <v>58</v>
      </c>
      <c r="D10" s="10" t="s">
        <v>59</v>
      </c>
      <c r="E10" s="10" t="s">
        <v>60</v>
      </c>
      <c r="F10" s="10" t="s">
        <v>61</v>
      </c>
      <c r="G10" s="10" t="s">
        <v>30</v>
      </c>
      <c r="H10" s="10">
        <v>8.0</v>
      </c>
      <c r="I10" s="11">
        <v>128.16</v>
      </c>
    </row>
    <row r="11">
      <c r="A11" s="9"/>
      <c r="B11" s="10" t="s">
        <v>62</v>
      </c>
      <c r="C11" s="10" t="s">
        <v>63</v>
      </c>
      <c r="D11" s="10" t="s">
        <v>64</v>
      </c>
      <c r="E11" s="10" t="s">
        <v>65</v>
      </c>
      <c r="F11" s="10" t="s">
        <v>66</v>
      </c>
      <c r="G11" s="10" t="s">
        <v>67</v>
      </c>
      <c r="H11" s="10">
        <v>2.0</v>
      </c>
      <c r="I11" s="11">
        <v>213.02</v>
      </c>
    </row>
    <row r="12">
      <c r="I12" s="13">
        <f>SUM(I4:I11)</f>
        <v>711.68</v>
      </c>
    </row>
    <row r="13">
      <c r="H13" s="1" t="s">
        <v>68</v>
      </c>
      <c r="I13" s="14">
        <f>I12*1.2</f>
        <v>854.016</v>
      </c>
      <c r="J13" s="1" t="s">
        <v>69</v>
      </c>
    </row>
  </sheetData>
  <hyperlinks>
    <hyperlink r:id="rId1" ref="D7"/>
    <hyperlink r:id="rId2" ref="D9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4.43"/>
    <col customWidth="1" min="2" max="2" width="64.14"/>
    <col customWidth="1" min="3" max="3" width="18.86"/>
    <col customWidth="1" min="4" max="4" width="20.57"/>
    <col customWidth="1" min="8" max="8" width="25.71"/>
  </cols>
  <sheetData>
    <row r="1">
      <c r="A1" s="15"/>
      <c r="B1" s="15" t="s">
        <v>70</v>
      </c>
      <c r="C1" s="16"/>
      <c r="D1" s="16"/>
      <c r="E1" s="16"/>
      <c r="F1" s="16"/>
    </row>
    <row r="2">
      <c r="A2" s="16"/>
      <c r="B2" s="16"/>
      <c r="C2" s="16"/>
      <c r="D2" s="16"/>
      <c r="E2" s="16"/>
      <c r="F2" s="16"/>
    </row>
    <row r="3">
      <c r="A3" s="16"/>
      <c r="B3" s="17" t="s">
        <v>71</v>
      </c>
      <c r="C3" s="17" t="s">
        <v>23</v>
      </c>
      <c r="D3" s="17" t="s">
        <v>72</v>
      </c>
      <c r="E3" s="17" t="s">
        <v>73</v>
      </c>
      <c r="F3" s="17" t="s">
        <v>74</v>
      </c>
    </row>
    <row r="4">
      <c r="A4" s="5"/>
      <c r="B4" s="18" t="s">
        <v>75</v>
      </c>
      <c r="C4" s="19"/>
      <c r="D4" s="19"/>
      <c r="E4" s="19"/>
      <c r="F4" s="20"/>
    </row>
    <row r="5">
      <c r="A5" s="1"/>
      <c r="B5" s="21" t="s">
        <v>76</v>
      </c>
      <c r="C5" s="22">
        <v>2.0</v>
      </c>
      <c r="D5" s="22" t="s">
        <v>77</v>
      </c>
      <c r="E5" s="23">
        <v>425.0</v>
      </c>
      <c r="F5" s="24">
        <f t="shared" ref="F5:F10" si="1">C5*E5</f>
        <v>850</v>
      </c>
    </row>
    <row r="6">
      <c r="A6" s="1"/>
      <c r="B6" s="21" t="s">
        <v>78</v>
      </c>
      <c r="C6" s="25">
        <f>SUM(C5)</f>
        <v>2</v>
      </c>
      <c r="D6" s="22" t="s">
        <v>77</v>
      </c>
      <c r="E6" s="23">
        <v>50.0</v>
      </c>
      <c r="F6" s="24">
        <f t="shared" si="1"/>
        <v>100</v>
      </c>
    </row>
    <row r="7">
      <c r="A7" s="1"/>
      <c r="B7" s="21" t="s">
        <v>79</v>
      </c>
      <c r="C7" s="22">
        <v>25.0</v>
      </c>
      <c r="D7" s="22" t="s">
        <v>80</v>
      </c>
      <c r="E7" s="23">
        <v>10.0</v>
      </c>
      <c r="F7" s="24">
        <f t="shared" si="1"/>
        <v>250</v>
      </c>
    </row>
    <row r="8">
      <c r="A8" s="1"/>
      <c r="B8" s="21" t="s">
        <v>81</v>
      </c>
      <c r="C8" s="22">
        <v>25.0</v>
      </c>
      <c r="D8" s="22" t="s">
        <v>80</v>
      </c>
      <c r="E8" s="23">
        <v>5.0</v>
      </c>
      <c r="F8" s="24">
        <f t="shared" si="1"/>
        <v>125</v>
      </c>
    </row>
    <row r="9">
      <c r="A9" s="1"/>
      <c r="B9" s="21" t="s">
        <v>82</v>
      </c>
      <c r="C9" s="22">
        <v>2.0</v>
      </c>
      <c r="D9" s="22" t="s">
        <v>77</v>
      </c>
      <c r="E9" s="23">
        <v>100.0</v>
      </c>
      <c r="F9" s="24">
        <f t="shared" si="1"/>
        <v>200</v>
      </c>
    </row>
    <row r="10">
      <c r="A10" s="1"/>
      <c r="B10" s="21" t="s">
        <v>83</v>
      </c>
      <c r="C10" s="22">
        <v>16.0</v>
      </c>
      <c r="D10" s="22" t="s">
        <v>84</v>
      </c>
      <c r="E10" s="23">
        <v>50.0</v>
      </c>
      <c r="F10" s="24">
        <f t="shared" si="1"/>
        <v>800</v>
      </c>
    </row>
    <row r="11">
      <c r="F11" s="14">
        <f>SUM(F5:F10)</f>
        <v>2325</v>
      </c>
      <c r="G11" s="26" t="s">
        <v>85</v>
      </c>
      <c r="H11" s="27"/>
    </row>
    <row r="12">
      <c r="A12" s="5"/>
      <c r="B12" s="5"/>
      <c r="C12" s="26"/>
      <c r="D12" s="26"/>
      <c r="E12" s="28"/>
      <c r="F12" s="27"/>
      <c r="G12" s="27"/>
      <c r="H12" s="27"/>
    </row>
    <row r="13">
      <c r="A13" s="5"/>
      <c r="B13" s="5" t="s">
        <v>86</v>
      </c>
      <c r="C13" s="26"/>
      <c r="D13" s="26"/>
      <c r="E13" s="28"/>
      <c r="F13" s="27"/>
      <c r="G13" s="27"/>
      <c r="H13" s="27"/>
    </row>
    <row r="14">
      <c r="A14" s="1"/>
      <c r="B14" s="21" t="s">
        <v>87</v>
      </c>
      <c r="C14" s="22">
        <v>1.0</v>
      </c>
      <c r="D14" s="22" t="s">
        <v>88</v>
      </c>
      <c r="E14" s="23">
        <v>100.0</v>
      </c>
      <c r="F14" s="24">
        <f t="shared" ref="F14:F16" si="2">C14*E14</f>
        <v>100</v>
      </c>
      <c r="G14" s="27"/>
      <c r="H14" s="27"/>
    </row>
    <row r="15">
      <c r="A15" s="1"/>
      <c r="B15" s="21" t="s">
        <v>89</v>
      </c>
      <c r="C15" s="22">
        <v>1.0</v>
      </c>
      <c r="D15" s="22" t="s">
        <v>88</v>
      </c>
      <c r="E15" s="23">
        <v>100.0</v>
      </c>
      <c r="F15" s="24">
        <f t="shared" si="2"/>
        <v>100</v>
      </c>
      <c r="G15" s="27"/>
      <c r="H15" s="27"/>
    </row>
    <row r="16">
      <c r="A16" s="1"/>
      <c r="B16" s="21" t="s">
        <v>90</v>
      </c>
      <c r="C16" s="22">
        <v>1.0</v>
      </c>
      <c r="D16" s="22" t="s">
        <v>88</v>
      </c>
      <c r="E16" s="23">
        <v>50.0</v>
      </c>
      <c r="F16" s="24">
        <f t="shared" si="2"/>
        <v>50</v>
      </c>
      <c r="G16" s="27"/>
      <c r="H16" s="27"/>
    </row>
    <row r="17">
      <c r="F17" s="29">
        <f>SUM(F14:F16)</f>
        <v>250</v>
      </c>
      <c r="G17" s="27"/>
      <c r="H17" s="27"/>
    </row>
    <row r="19">
      <c r="A19" s="5"/>
      <c r="B19" s="5" t="s">
        <v>91</v>
      </c>
    </row>
    <row r="20">
      <c r="A20" s="1"/>
      <c r="B20" s="21" t="s">
        <v>92</v>
      </c>
      <c r="C20" s="22">
        <v>1.0</v>
      </c>
      <c r="D20" s="22" t="s">
        <v>93</v>
      </c>
      <c r="E20" s="23">
        <v>2000.0</v>
      </c>
      <c r="F20" s="24">
        <f t="shared" ref="F20:F29" si="3">C20*E20</f>
        <v>2000</v>
      </c>
    </row>
    <row r="21">
      <c r="A21" s="1"/>
      <c r="B21" s="21" t="s">
        <v>94</v>
      </c>
      <c r="C21" s="22">
        <v>100.0</v>
      </c>
      <c r="D21" s="22" t="s">
        <v>84</v>
      </c>
      <c r="E21" s="23">
        <v>100.0</v>
      </c>
      <c r="F21" s="24">
        <f t="shared" si="3"/>
        <v>10000</v>
      </c>
    </row>
    <row r="22">
      <c r="A22" s="1"/>
      <c r="B22" s="21" t="s">
        <v>95</v>
      </c>
      <c r="C22" s="22">
        <v>100.0</v>
      </c>
      <c r="D22" s="22" t="s">
        <v>84</v>
      </c>
      <c r="E22" s="23">
        <v>100.0</v>
      </c>
      <c r="F22" s="24">
        <f t="shared" si="3"/>
        <v>10000</v>
      </c>
    </row>
    <row r="23">
      <c r="A23" s="1"/>
      <c r="B23" s="21" t="s">
        <v>96</v>
      </c>
      <c r="C23" s="22">
        <v>100.0</v>
      </c>
      <c r="D23" s="22" t="s">
        <v>84</v>
      </c>
      <c r="E23" s="23">
        <v>100.0</v>
      </c>
      <c r="F23" s="24">
        <f t="shared" si="3"/>
        <v>10000</v>
      </c>
    </row>
    <row r="24">
      <c r="A24" s="1"/>
      <c r="B24" s="21" t="s">
        <v>97</v>
      </c>
      <c r="C24" s="22">
        <v>50.0</v>
      </c>
      <c r="D24" s="22" t="s">
        <v>84</v>
      </c>
      <c r="E24" s="23">
        <v>100.0</v>
      </c>
      <c r="F24" s="24">
        <f t="shared" si="3"/>
        <v>5000</v>
      </c>
    </row>
    <row r="25">
      <c r="A25" s="1"/>
      <c r="B25" s="21" t="s">
        <v>98</v>
      </c>
      <c r="C25" s="22">
        <v>1.0</v>
      </c>
      <c r="D25" s="22" t="s">
        <v>93</v>
      </c>
      <c r="E25" s="23">
        <v>1000.0</v>
      </c>
      <c r="F25" s="24">
        <f t="shared" si="3"/>
        <v>1000</v>
      </c>
    </row>
    <row r="26">
      <c r="A26" s="1"/>
      <c r="B26" s="21" t="s">
        <v>99</v>
      </c>
      <c r="C26" s="22">
        <v>1.0</v>
      </c>
      <c r="D26" s="22" t="s">
        <v>100</v>
      </c>
      <c r="E26" s="23">
        <v>1000.0</v>
      </c>
      <c r="F26" s="24">
        <f t="shared" si="3"/>
        <v>1000</v>
      </c>
    </row>
    <row r="27">
      <c r="A27" s="1"/>
      <c r="B27" s="21" t="s">
        <v>101</v>
      </c>
      <c r="C27" s="22">
        <v>1.0</v>
      </c>
      <c r="D27" s="22" t="s">
        <v>102</v>
      </c>
      <c r="E27" s="23">
        <v>6000.0</v>
      </c>
      <c r="F27" s="24">
        <f t="shared" si="3"/>
        <v>6000</v>
      </c>
    </row>
    <row r="28">
      <c r="A28" s="1"/>
      <c r="B28" s="21" t="s">
        <v>103</v>
      </c>
      <c r="C28" s="22">
        <v>1.0</v>
      </c>
      <c r="D28" s="22" t="s">
        <v>102</v>
      </c>
      <c r="E28" s="23">
        <v>6000.0</v>
      </c>
      <c r="F28" s="24">
        <f t="shared" si="3"/>
        <v>6000</v>
      </c>
    </row>
    <row r="29">
      <c r="A29" s="1"/>
      <c r="B29" s="21" t="s">
        <v>104</v>
      </c>
      <c r="C29" s="22">
        <v>1.0</v>
      </c>
      <c r="D29" s="22" t="s">
        <v>102</v>
      </c>
      <c r="E29" s="23">
        <v>3000.0</v>
      </c>
      <c r="F29" s="24">
        <f t="shared" si="3"/>
        <v>3000</v>
      </c>
    </row>
    <row r="30">
      <c r="E30" s="30" t="s">
        <v>105</v>
      </c>
      <c r="F30" s="29">
        <f>SUM(F20:F29)</f>
        <v>54000</v>
      </c>
    </row>
    <row r="31">
      <c r="E31" s="30" t="s">
        <v>106</v>
      </c>
      <c r="F31" s="13">
        <f>F30*12</f>
        <v>648000</v>
      </c>
    </row>
    <row r="32">
      <c r="A32" s="5"/>
      <c r="B32" s="5"/>
    </row>
  </sheetData>
  <mergeCells count="1">
    <mergeCell ref="B4:F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6.86"/>
    <col customWidth="1" min="2" max="2" width="44.14"/>
    <col customWidth="1" min="3" max="3" width="36.71"/>
    <col customWidth="1" min="4" max="4" width="16.0"/>
    <col customWidth="1" min="5" max="5" width="18.0"/>
  </cols>
  <sheetData>
    <row r="1">
      <c r="A1" s="5"/>
      <c r="B1" s="5" t="s">
        <v>107</v>
      </c>
    </row>
    <row r="3">
      <c r="A3" s="5"/>
      <c r="B3" s="5" t="s">
        <v>108</v>
      </c>
    </row>
    <row r="4">
      <c r="A4" s="1"/>
      <c r="B4" s="21" t="s">
        <v>109</v>
      </c>
      <c r="C4" s="31">
        <f>3*12</f>
        <v>36</v>
      </c>
    </row>
    <row r="5">
      <c r="A5" s="1"/>
      <c r="B5" s="21" t="s">
        <v>110</v>
      </c>
      <c r="C5" s="32">
        <v>150.0</v>
      </c>
    </row>
    <row r="6">
      <c r="A6" s="1"/>
      <c r="B6" s="21" t="s">
        <v>111</v>
      </c>
      <c r="C6" s="32">
        <v>25.0</v>
      </c>
    </row>
    <row r="8">
      <c r="A8" s="5"/>
      <c r="B8" s="5" t="s">
        <v>112</v>
      </c>
    </row>
    <row r="9">
      <c r="A9" s="33"/>
      <c r="B9" s="3" t="s">
        <v>113</v>
      </c>
      <c r="C9" s="3" t="s">
        <v>114</v>
      </c>
      <c r="D9" s="3" t="s">
        <v>115</v>
      </c>
      <c r="E9" s="3" t="s">
        <v>116</v>
      </c>
    </row>
    <row r="10">
      <c r="A10" s="34"/>
      <c r="B10" s="35" t="s">
        <v>117</v>
      </c>
      <c r="C10" s="21" t="s">
        <v>118</v>
      </c>
      <c r="D10" s="36">
        <v>3000.0</v>
      </c>
      <c r="E10" s="36">
        <f>'2. Expenses'!F11</f>
        <v>2325</v>
      </c>
    </row>
    <row r="11">
      <c r="A11" s="34"/>
      <c r="B11" s="37"/>
      <c r="C11" s="21" t="s">
        <v>119</v>
      </c>
      <c r="D11" s="36">
        <f>24*C5</f>
        <v>3600</v>
      </c>
      <c r="E11" s="36">
        <f>24*C5</f>
        <v>3600</v>
      </c>
    </row>
    <row r="12">
      <c r="A12" s="34"/>
      <c r="B12" s="35" t="s">
        <v>120</v>
      </c>
      <c r="C12" s="38" t="s">
        <v>121</v>
      </c>
      <c r="D12" s="36">
        <v>0.0</v>
      </c>
      <c r="E12" s="36">
        <f>8*C4*C6</f>
        <v>7200</v>
      </c>
    </row>
    <row r="13">
      <c r="A13" s="34"/>
      <c r="B13" s="37"/>
      <c r="C13" s="39" t="s">
        <v>122</v>
      </c>
      <c r="D13" s="36">
        <v>0.0</v>
      </c>
      <c r="E13" s="36">
        <f>0.1*SUM(E9:E11)*C4/12</f>
        <v>1777.5</v>
      </c>
    </row>
    <row r="14">
      <c r="A14" s="34"/>
      <c r="B14" s="35" t="s">
        <v>123</v>
      </c>
      <c r="C14" s="21" t="s">
        <v>124</v>
      </c>
      <c r="D14" s="36">
        <v>0.0</v>
      </c>
      <c r="E14" s="36" t="s">
        <v>125</v>
      </c>
    </row>
    <row r="15">
      <c r="A15" s="34"/>
      <c r="B15" s="40"/>
      <c r="C15" s="21" t="s">
        <v>126</v>
      </c>
      <c r="D15" s="36">
        <v>0.0</v>
      </c>
      <c r="E15" s="36" t="s">
        <v>125</v>
      </c>
    </row>
    <row r="16">
      <c r="A16" s="34"/>
      <c r="B16" s="37"/>
      <c r="C16" s="21" t="s">
        <v>127</v>
      </c>
      <c r="D16" s="36">
        <v>0.0</v>
      </c>
      <c r="E16" s="36" t="s">
        <v>125</v>
      </c>
    </row>
    <row r="17">
      <c r="A17" s="41"/>
      <c r="B17" s="41"/>
      <c r="C17" s="42" t="s">
        <v>128</v>
      </c>
      <c r="D17" s="43">
        <f t="shared" ref="D17:E17" si="1">SUM(D10:D16)</f>
        <v>6600</v>
      </c>
      <c r="E17" s="43">
        <f t="shared" si="1"/>
        <v>14902.5</v>
      </c>
    </row>
    <row r="18">
      <c r="A18" s="1"/>
      <c r="B18" s="1"/>
      <c r="C18" s="42" t="s">
        <v>129</v>
      </c>
      <c r="D18" s="44">
        <f>D17/C22</f>
        <v>[redacted]</v>
      </c>
      <c r="E18" s="45">
        <f>E17/C22</f>
        <v>[redacted]</v>
      </c>
      <c r="F18" s="1" t="s">
        <v>130</v>
      </c>
    </row>
    <row r="19">
      <c r="A19" s="5"/>
      <c r="B19" s="5"/>
      <c r="C19" s="1"/>
    </row>
    <row r="20">
      <c r="A20" s="5"/>
      <c r="B20" s="5"/>
    </row>
    <row r="21">
      <c r="A21" s="5"/>
      <c r="B21" s="5" t="s">
        <v>131</v>
      </c>
    </row>
    <row r="22">
      <c r="A22" s="1"/>
      <c r="B22" s="21" t="s">
        <v>132</v>
      </c>
      <c r="C22" s="46">
        <f>12.19*2.44</f>
        <v>29.7436</v>
      </c>
      <c r="D22" s="1"/>
    </row>
    <row r="23">
      <c r="A23" s="1"/>
      <c r="B23" s="21" t="s">
        <v>133</v>
      </c>
      <c r="C23" s="47">
        <f>E10</f>
        <v>2325</v>
      </c>
      <c r="D23" s="1"/>
    </row>
    <row r="24">
      <c r="A24" s="1"/>
      <c r="B24" s="21" t="s">
        <v>134</v>
      </c>
      <c r="C24" s="45">
        <f>C23/C22</f>
        <v>78.16807649</v>
      </c>
      <c r="D24" s="5" t="s">
        <v>130</v>
      </c>
    </row>
    <row r="25">
      <c r="E25" s="5"/>
    </row>
    <row r="26">
      <c r="A26" s="5"/>
      <c r="B26" s="5" t="s">
        <v>135</v>
      </c>
      <c r="E26" s="5"/>
    </row>
    <row r="27">
      <c r="A27" s="5"/>
      <c r="B27" s="5"/>
      <c r="C27" s="17" t="s">
        <v>136</v>
      </c>
      <c r="D27" s="17" t="s">
        <v>137</v>
      </c>
      <c r="E27" s="17" t="s">
        <v>138</v>
      </c>
      <c r="F27" s="17" t="s">
        <v>139</v>
      </c>
      <c r="G27" s="5" t="s">
        <v>24</v>
      </c>
    </row>
    <row r="28">
      <c r="A28" s="1"/>
      <c r="B28" s="21" t="s">
        <v>140</v>
      </c>
      <c r="C28" s="48">
        <v>4000.0</v>
      </c>
      <c r="D28" s="48">
        <f>D11</f>
        <v>3600</v>
      </c>
      <c r="E28" s="48">
        <f>SUM(C28:D28)*0.1</f>
        <v>760</v>
      </c>
      <c r="F28" s="22" t="s">
        <v>141</v>
      </c>
    </row>
    <row r="29">
      <c r="A29" s="1"/>
      <c r="B29" s="21" t="s">
        <v>142</v>
      </c>
      <c r="C29" s="48">
        <f t="shared" ref="C29:E29" si="2">C28*10</f>
        <v>40000</v>
      </c>
      <c r="D29" s="48">
        <f t="shared" si="2"/>
        <v>36000</v>
      </c>
      <c r="E29" s="48">
        <f t="shared" si="2"/>
        <v>7600</v>
      </c>
      <c r="F29" s="22" t="s">
        <v>141</v>
      </c>
    </row>
    <row r="30">
      <c r="A30" s="1"/>
      <c r="B30" s="21" t="s">
        <v>143</v>
      </c>
      <c r="C30" s="48">
        <f t="shared" ref="C30:E30" si="3">C28*200</f>
        <v>800000</v>
      </c>
      <c r="D30" s="48">
        <f t="shared" si="3"/>
        <v>720000</v>
      </c>
      <c r="E30" s="48">
        <f t="shared" si="3"/>
        <v>152000</v>
      </c>
      <c r="F30" s="22" t="s">
        <v>141</v>
      </c>
    </row>
    <row r="32">
      <c r="A32" s="33"/>
      <c r="B32" s="3" t="s">
        <v>113</v>
      </c>
      <c r="C32" s="3" t="s">
        <v>114</v>
      </c>
      <c r="D32" s="17" t="s">
        <v>144</v>
      </c>
      <c r="E32" s="17" t="s">
        <v>145</v>
      </c>
      <c r="F32" s="17" t="s">
        <v>146</v>
      </c>
    </row>
    <row r="33">
      <c r="A33" s="34"/>
      <c r="B33" s="35" t="s">
        <v>117</v>
      </c>
      <c r="C33" s="21" t="s">
        <v>118</v>
      </c>
      <c r="D33" s="49">
        <v>4000.0</v>
      </c>
      <c r="E33" s="50">
        <f t="shared" ref="E33:E39" si="4">D33*10</f>
        <v>40000</v>
      </c>
      <c r="F33" s="50">
        <f t="shared" ref="F33:F39" si="5">D33*200</f>
        <v>800000</v>
      </c>
    </row>
    <row r="34">
      <c r="A34" s="34"/>
      <c r="B34" s="37"/>
      <c r="C34" s="21" t="s">
        <v>137</v>
      </c>
      <c r="D34" s="49">
        <f>D11</f>
        <v>3600</v>
      </c>
      <c r="E34" s="50">
        <f t="shared" si="4"/>
        <v>36000</v>
      </c>
      <c r="F34" s="50">
        <f t="shared" si="5"/>
        <v>720000</v>
      </c>
    </row>
    <row r="35">
      <c r="A35" s="34"/>
      <c r="B35" s="35" t="s">
        <v>120</v>
      </c>
      <c r="C35" s="38" t="s">
        <v>147</v>
      </c>
      <c r="D35" s="49">
        <v>0.0</v>
      </c>
      <c r="E35" s="50">
        <f t="shared" si="4"/>
        <v>0</v>
      </c>
      <c r="F35" s="50">
        <f t="shared" si="5"/>
        <v>0</v>
      </c>
    </row>
    <row r="36">
      <c r="A36" s="34"/>
      <c r="B36" s="37"/>
      <c r="C36" s="39" t="s">
        <v>148</v>
      </c>
      <c r="D36" s="49">
        <f>0.1*SUM(D33:D34)</f>
        <v>760</v>
      </c>
      <c r="E36" s="50">
        <f t="shared" si="4"/>
        <v>7600</v>
      </c>
      <c r="F36" s="50">
        <f t="shared" si="5"/>
        <v>152000</v>
      </c>
    </row>
    <row r="37">
      <c r="A37" s="34"/>
      <c r="B37" s="35" t="s">
        <v>123</v>
      </c>
      <c r="C37" s="21" t="s">
        <v>124</v>
      </c>
      <c r="D37" s="49">
        <v>0.0</v>
      </c>
      <c r="E37" s="50">
        <f t="shared" si="4"/>
        <v>0</v>
      </c>
      <c r="F37" s="50">
        <f t="shared" si="5"/>
        <v>0</v>
      </c>
    </row>
    <row r="38">
      <c r="A38" s="34"/>
      <c r="B38" s="40"/>
      <c r="C38" s="21" t="s">
        <v>126</v>
      </c>
      <c r="D38" s="49">
        <v>0.0</v>
      </c>
      <c r="E38" s="50">
        <f t="shared" si="4"/>
        <v>0</v>
      </c>
      <c r="F38" s="50">
        <f t="shared" si="5"/>
        <v>0</v>
      </c>
    </row>
    <row r="39">
      <c r="A39" s="34"/>
      <c r="B39" s="37"/>
      <c r="C39" s="21" t="s">
        <v>127</v>
      </c>
      <c r="D39" s="49">
        <v>0.0</v>
      </c>
      <c r="E39" s="50">
        <f t="shared" si="4"/>
        <v>0</v>
      </c>
      <c r="F39" s="50">
        <f t="shared" si="5"/>
        <v>0</v>
      </c>
    </row>
    <row r="40">
      <c r="D40" s="51">
        <f t="shared" ref="D40:F40" si="6">SUM(D33:D39)</f>
        <v>8360</v>
      </c>
      <c r="E40" s="51">
        <f t="shared" si="6"/>
        <v>83600</v>
      </c>
      <c r="F40" s="51">
        <f t="shared" si="6"/>
        <v>1672000</v>
      </c>
    </row>
  </sheetData>
  <mergeCells count="6">
    <mergeCell ref="B10:B11"/>
    <mergeCell ref="B12:B13"/>
    <mergeCell ref="B14:B16"/>
    <mergeCell ref="B33:B34"/>
    <mergeCell ref="B35:B36"/>
    <mergeCell ref="B37:B3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7.0"/>
    <col customWidth="1" min="2" max="2" width="32.71"/>
    <col customWidth="1" min="7" max="7" width="15.86"/>
    <col customWidth="1" min="8" max="8" width="27.86"/>
  </cols>
  <sheetData>
    <row r="1">
      <c r="A1" s="52"/>
      <c r="B1" s="52" t="s">
        <v>149</v>
      </c>
      <c r="C1" s="52"/>
      <c r="F1" s="53"/>
      <c r="G1" s="53"/>
      <c r="H1" s="53"/>
      <c r="I1" s="53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</row>
    <row r="2">
      <c r="A2" s="53"/>
      <c r="B2" s="52" t="s">
        <v>150</v>
      </c>
      <c r="C2" s="53"/>
      <c r="D2" s="53"/>
      <c r="E2" s="53"/>
      <c r="F2" s="53"/>
      <c r="G2" s="53"/>
      <c r="H2" s="53"/>
      <c r="I2" s="53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</row>
    <row r="3">
      <c r="A3" s="52"/>
      <c r="B3" s="55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</row>
    <row r="4">
      <c r="A4" s="52"/>
      <c r="B4" s="55" t="s">
        <v>108</v>
      </c>
      <c r="C4" s="53"/>
      <c r="D4" s="53"/>
      <c r="E4" s="53"/>
      <c r="F4" s="53"/>
      <c r="G4" s="53"/>
      <c r="H4" s="53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</row>
    <row r="5">
      <c r="A5" s="53"/>
      <c r="B5" s="56" t="s">
        <v>151</v>
      </c>
      <c r="C5" s="57">
        <v>500.0</v>
      </c>
      <c r="D5" s="53"/>
      <c r="E5" s="53"/>
      <c r="F5" s="53"/>
      <c r="G5" s="52"/>
      <c r="H5" s="53"/>
      <c r="I5" s="53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</row>
    <row r="6">
      <c r="A6" s="53"/>
      <c r="B6" s="58" t="s">
        <v>152</v>
      </c>
      <c r="C6" s="59">
        <v>100.0</v>
      </c>
      <c r="D6" s="53"/>
      <c r="E6" s="53"/>
      <c r="F6" s="53"/>
      <c r="G6" s="52"/>
      <c r="H6" s="53"/>
      <c r="I6" s="53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</row>
    <row r="7">
      <c r="A7" s="53"/>
      <c r="B7" s="58" t="s">
        <v>153</v>
      </c>
      <c r="C7" s="60">
        <v>0.1</v>
      </c>
      <c r="D7" s="53"/>
      <c r="E7" s="53"/>
      <c r="F7" s="53"/>
      <c r="G7" s="53"/>
      <c r="H7" s="53"/>
      <c r="I7" s="53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</row>
    <row r="8">
      <c r="A8" s="53"/>
      <c r="B8" s="53"/>
      <c r="C8" s="53"/>
      <c r="D8" s="53"/>
      <c r="E8" s="53"/>
      <c r="F8" s="53"/>
      <c r="G8" s="53"/>
      <c r="H8" s="53"/>
      <c r="I8" s="53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</row>
    <row r="9">
      <c r="A9" s="53"/>
      <c r="B9" s="61"/>
      <c r="C9" s="62" t="s">
        <v>154</v>
      </c>
      <c r="D9" s="62" t="s">
        <v>155</v>
      </c>
      <c r="E9" s="62" t="s">
        <v>156</v>
      </c>
      <c r="F9" s="62" t="s">
        <v>157</v>
      </c>
      <c r="G9" s="62" t="s">
        <v>158</v>
      </c>
      <c r="H9" s="53"/>
      <c r="I9" s="53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</row>
    <row r="10">
      <c r="A10" s="52"/>
      <c r="B10" s="63" t="s">
        <v>159</v>
      </c>
      <c r="C10" s="64">
        <f t="shared" ref="C10:G10" si="1">C11*$C$5</f>
        <v>500000</v>
      </c>
      <c r="D10" s="64">
        <f t="shared" si="1"/>
        <v>1000000</v>
      </c>
      <c r="E10" s="64">
        <f t="shared" si="1"/>
        <v>3000000</v>
      </c>
      <c r="F10" s="64">
        <f t="shared" si="1"/>
        <v>6000000</v>
      </c>
      <c r="G10" s="64">
        <f t="shared" si="1"/>
        <v>12000000</v>
      </c>
      <c r="H10" s="53"/>
      <c r="I10" s="53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</row>
    <row r="11">
      <c r="A11" s="52"/>
      <c r="B11" s="58" t="s">
        <v>160</v>
      </c>
      <c r="C11" s="65">
        <v>1000.0</v>
      </c>
      <c r="D11" s="65">
        <f>C11*2</f>
        <v>2000</v>
      </c>
      <c r="E11" s="65">
        <v>6000.0</v>
      </c>
      <c r="F11" s="65">
        <f t="shared" ref="F11:G11" si="2">E11*2</f>
        <v>12000</v>
      </c>
      <c r="G11" s="65">
        <f t="shared" si="2"/>
        <v>24000</v>
      </c>
      <c r="H11" s="53"/>
      <c r="I11" s="53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</row>
    <row r="12">
      <c r="A12" s="66"/>
      <c r="B12" s="58" t="s">
        <v>161</v>
      </c>
      <c r="C12" s="64">
        <f t="shared" ref="C12:G12" si="3">C11*$C$6</f>
        <v>100000</v>
      </c>
      <c r="D12" s="64">
        <f t="shared" si="3"/>
        <v>200000</v>
      </c>
      <c r="E12" s="64">
        <f t="shared" si="3"/>
        <v>600000</v>
      </c>
      <c r="F12" s="64">
        <f t="shared" si="3"/>
        <v>1200000</v>
      </c>
      <c r="G12" s="64">
        <f t="shared" si="3"/>
        <v>2400000</v>
      </c>
      <c r="H12" s="66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</row>
    <row r="13">
      <c r="A13" s="52"/>
      <c r="B13" s="63" t="s">
        <v>162</v>
      </c>
      <c r="C13" s="64">
        <f t="shared" ref="C13:G13" si="4">C10-C12</f>
        <v>400000</v>
      </c>
      <c r="D13" s="64">
        <f t="shared" si="4"/>
        <v>800000</v>
      </c>
      <c r="E13" s="64">
        <f t="shared" si="4"/>
        <v>2400000</v>
      </c>
      <c r="F13" s="64">
        <f t="shared" si="4"/>
        <v>4800000</v>
      </c>
      <c r="G13" s="64">
        <f t="shared" si="4"/>
        <v>9600000</v>
      </c>
      <c r="H13" s="53"/>
      <c r="I13" s="53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</row>
    <row r="14">
      <c r="A14" s="53"/>
      <c r="B14" s="61"/>
      <c r="C14" s="64"/>
      <c r="D14" s="64"/>
      <c r="E14" s="64"/>
      <c r="F14" s="64"/>
      <c r="G14" s="64"/>
      <c r="H14" s="53"/>
      <c r="I14" s="53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</row>
    <row r="15">
      <c r="A15" s="66"/>
      <c r="B15" s="58" t="s">
        <v>4</v>
      </c>
      <c r="C15" s="64">
        <v>650000.0</v>
      </c>
      <c r="D15" s="64">
        <v>800000.0</v>
      </c>
      <c r="E15" s="64">
        <v>900000.0</v>
      </c>
      <c r="F15" s="64">
        <v>1000000.0</v>
      </c>
      <c r="G15" s="64">
        <v>1500000.0</v>
      </c>
      <c r="H15" s="66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</row>
    <row r="16">
      <c r="A16" s="52"/>
      <c r="B16" s="63" t="s">
        <v>163</v>
      </c>
      <c r="C16" s="64">
        <f t="shared" ref="C16:G16" si="5">C13-C15</f>
        <v>-250000</v>
      </c>
      <c r="D16" s="64">
        <f t="shared" si="5"/>
        <v>0</v>
      </c>
      <c r="E16" s="64">
        <f t="shared" si="5"/>
        <v>1500000</v>
      </c>
      <c r="F16" s="64">
        <f t="shared" si="5"/>
        <v>3800000</v>
      </c>
      <c r="G16" s="64">
        <f t="shared" si="5"/>
        <v>8100000</v>
      </c>
      <c r="H16" s="53"/>
      <c r="I16" s="53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</row>
    <row r="17">
      <c r="A17" s="53"/>
      <c r="B17" s="53"/>
      <c r="C17" s="67"/>
      <c r="D17" s="67"/>
      <c r="E17" s="67"/>
      <c r="F17" s="67"/>
      <c r="G17" s="67"/>
      <c r="H17" s="53"/>
      <c r="I17" s="53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</row>
    <row r="18">
      <c r="A18" s="52"/>
      <c r="B18" s="63" t="s">
        <v>164</v>
      </c>
      <c r="C18" s="68">
        <f>C16</f>
        <v>-250000</v>
      </c>
      <c r="D18" s="68">
        <f>C16+D16</f>
        <v>-250000</v>
      </c>
      <c r="E18" s="68">
        <f>SUM(C16:E16)</f>
        <v>1250000</v>
      </c>
      <c r="F18" s="68">
        <f>SUM(C16:F16)</f>
        <v>5050000</v>
      </c>
      <c r="G18" s="68">
        <f>SUM(C16:G16)</f>
        <v>13150000</v>
      </c>
      <c r="H18" s="53"/>
      <c r="I18" s="53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</row>
    <row r="19">
      <c r="A19" s="53"/>
      <c r="B19" s="53"/>
      <c r="C19" s="67"/>
      <c r="D19" s="67"/>
      <c r="E19" s="67"/>
      <c r="F19" s="67"/>
      <c r="G19" s="67"/>
      <c r="H19" s="53"/>
      <c r="I19" s="53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</row>
    <row r="20">
      <c r="A20" s="54"/>
      <c r="B20" s="69" t="s">
        <v>165</v>
      </c>
      <c r="C20" s="70">
        <f t="array" ref="C20">NPV(C7,C16:G16)</f>
        <v>8524613.321</v>
      </c>
      <c r="D20" s="71"/>
      <c r="E20" s="71"/>
      <c r="F20" s="71"/>
      <c r="G20" s="71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</row>
    <row r="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</row>
    <row r="2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</row>
    <row r="23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</row>
    <row r="24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</row>
    <row r="2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</row>
    <row r="26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</row>
    <row r="27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</row>
    <row r="28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</row>
  </sheetData>
  <mergeCells count="3">
    <mergeCell ref="C1:E1"/>
    <mergeCell ref="H12:I12"/>
    <mergeCell ref="H15:I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7.0"/>
    <col customWidth="1" min="2" max="2" width="32.71"/>
    <col customWidth="1" min="7" max="7" width="15.86"/>
    <col customWidth="1" min="8" max="8" width="27.86"/>
  </cols>
  <sheetData>
    <row r="1">
      <c r="A1" s="52"/>
      <c r="B1" s="52" t="s">
        <v>149</v>
      </c>
      <c r="C1" s="52"/>
      <c r="F1" s="53"/>
      <c r="G1" s="53"/>
      <c r="H1" s="53"/>
      <c r="I1" s="53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</row>
    <row r="2">
      <c r="A2" s="53"/>
      <c r="B2" s="52" t="s">
        <v>150</v>
      </c>
      <c r="C2" s="53"/>
      <c r="D2" s="53"/>
      <c r="E2" s="53"/>
      <c r="F2" s="53"/>
      <c r="G2" s="53"/>
      <c r="H2" s="53"/>
      <c r="I2" s="53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</row>
    <row r="3">
      <c r="A3" s="52"/>
      <c r="B3" s="55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</row>
    <row r="4">
      <c r="A4" s="52"/>
      <c r="B4" s="55" t="s">
        <v>108</v>
      </c>
      <c r="C4" s="53"/>
      <c r="D4" s="53"/>
      <c r="E4" s="53"/>
      <c r="F4" s="53"/>
      <c r="G4" s="53"/>
      <c r="H4" s="53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</row>
    <row r="5">
      <c r="A5" s="53"/>
      <c r="B5" s="56" t="s">
        <v>151</v>
      </c>
      <c r="C5" s="57">
        <v>400.0</v>
      </c>
      <c r="D5" s="53"/>
      <c r="E5" s="53"/>
      <c r="F5" s="53"/>
      <c r="G5" s="52"/>
      <c r="H5" s="53"/>
      <c r="I5" s="53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</row>
    <row r="6">
      <c r="A6" s="53"/>
      <c r="B6" s="58" t="s">
        <v>152</v>
      </c>
      <c r="C6" s="59">
        <v>90.0</v>
      </c>
      <c r="D6" s="53"/>
      <c r="E6" s="53"/>
      <c r="F6" s="53"/>
      <c r="G6" s="52"/>
      <c r="H6" s="53"/>
      <c r="I6" s="53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</row>
    <row r="7">
      <c r="A7" s="53"/>
      <c r="B7" s="58" t="s">
        <v>153</v>
      </c>
      <c r="C7" s="60">
        <v>0.05</v>
      </c>
      <c r="D7" s="53"/>
      <c r="E7" s="53"/>
      <c r="F7" s="53"/>
      <c r="G7" s="53"/>
      <c r="H7" s="53"/>
      <c r="I7" s="53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</row>
    <row r="8">
      <c r="A8" s="53"/>
      <c r="B8" s="53"/>
      <c r="C8" s="53"/>
      <c r="D8" s="53"/>
      <c r="E8" s="53"/>
      <c r="F8" s="53"/>
      <c r="G8" s="53"/>
      <c r="H8" s="53"/>
      <c r="I8" s="53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</row>
    <row r="9">
      <c r="A9" s="53"/>
      <c r="B9" s="61"/>
      <c r="C9" s="62" t="s">
        <v>154</v>
      </c>
      <c r="D9" s="62" t="s">
        <v>155</v>
      </c>
      <c r="E9" s="62" t="s">
        <v>156</v>
      </c>
      <c r="F9" s="62" t="s">
        <v>157</v>
      </c>
      <c r="G9" s="62" t="s">
        <v>158</v>
      </c>
      <c r="H9" s="53"/>
      <c r="I9" s="53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</row>
    <row r="10">
      <c r="A10" s="52"/>
      <c r="B10" s="63" t="s">
        <v>159</v>
      </c>
      <c r="C10" s="72">
        <f t="shared" ref="C10:G10" si="1">C11*$C$5</f>
        <v>400000</v>
      </c>
      <c r="D10" s="72">
        <f t="shared" si="1"/>
        <v>600000</v>
      </c>
      <c r="E10" s="72">
        <f t="shared" si="1"/>
        <v>900000</v>
      </c>
      <c r="F10" s="72">
        <f t="shared" si="1"/>
        <v>1350000</v>
      </c>
      <c r="G10" s="72">
        <f t="shared" si="1"/>
        <v>2025000</v>
      </c>
      <c r="H10" s="53"/>
      <c r="I10" s="53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</row>
    <row r="11">
      <c r="A11" s="52"/>
      <c r="B11" s="58" t="s">
        <v>160</v>
      </c>
      <c r="C11" s="73">
        <v>1000.0</v>
      </c>
      <c r="D11" s="73">
        <f t="shared" ref="D11:G11" si="2">C11*1.5</f>
        <v>1500</v>
      </c>
      <c r="E11" s="73">
        <f t="shared" si="2"/>
        <v>2250</v>
      </c>
      <c r="F11" s="73">
        <f t="shared" si="2"/>
        <v>3375</v>
      </c>
      <c r="G11" s="73">
        <f t="shared" si="2"/>
        <v>5062.5</v>
      </c>
      <c r="H11" s="53"/>
      <c r="I11" s="53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</row>
    <row r="12">
      <c r="A12" s="66"/>
      <c r="B12" s="58" t="s">
        <v>161</v>
      </c>
      <c r="C12" s="72">
        <f t="shared" ref="C12:G12" si="3">C11*$C$6</f>
        <v>90000</v>
      </c>
      <c r="D12" s="72">
        <f t="shared" si="3"/>
        <v>135000</v>
      </c>
      <c r="E12" s="72">
        <f t="shared" si="3"/>
        <v>202500</v>
      </c>
      <c r="F12" s="72">
        <f t="shared" si="3"/>
        <v>303750</v>
      </c>
      <c r="G12" s="72">
        <f t="shared" si="3"/>
        <v>455625</v>
      </c>
      <c r="H12" s="66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</row>
    <row r="13">
      <c r="A13" s="52"/>
      <c r="B13" s="63" t="s">
        <v>162</v>
      </c>
      <c r="C13" s="72">
        <f t="shared" ref="C13:G13" si="4">C10-C12</f>
        <v>310000</v>
      </c>
      <c r="D13" s="72">
        <f t="shared" si="4"/>
        <v>465000</v>
      </c>
      <c r="E13" s="72">
        <f t="shared" si="4"/>
        <v>697500</v>
      </c>
      <c r="F13" s="72">
        <f t="shared" si="4"/>
        <v>1046250</v>
      </c>
      <c r="G13" s="72">
        <f t="shared" si="4"/>
        <v>1569375</v>
      </c>
      <c r="H13" s="53"/>
      <c r="I13" s="53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</row>
    <row r="14">
      <c r="A14" s="53"/>
      <c r="B14" s="61"/>
      <c r="C14" s="72"/>
      <c r="D14" s="72"/>
      <c r="E14" s="72"/>
      <c r="F14" s="72"/>
      <c r="G14" s="72"/>
      <c r="H14" s="53"/>
      <c r="I14" s="53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</row>
    <row r="15">
      <c r="A15" s="66"/>
      <c r="B15" s="58" t="s">
        <v>4</v>
      </c>
      <c r="C15" s="72">
        <v>650000.0</v>
      </c>
      <c r="D15" s="72">
        <v>800000.0</v>
      </c>
      <c r="E15" s="72">
        <v>900000.0</v>
      </c>
      <c r="F15" s="72">
        <v>1000000.0</v>
      </c>
      <c r="G15" s="72">
        <v>1500000.0</v>
      </c>
      <c r="H15" s="66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</row>
    <row r="16">
      <c r="A16" s="52"/>
      <c r="B16" s="63" t="s">
        <v>163</v>
      </c>
      <c r="C16" s="72">
        <f t="shared" ref="C16:G16" si="5">C13-C15</f>
        <v>-340000</v>
      </c>
      <c r="D16" s="72">
        <f t="shared" si="5"/>
        <v>-335000</v>
      </c>
      <c r="E16" s="72">
        <f t="shared" si="5"/>
        <v>-202500</v>
      </c>
      <c r="F16" s="72">
        <f t="shared" si="5"/>
        <v>46250</v>
      </c>
      <c r="G16" s="72">
        <f t="shared" si="5"/>
        <v>69375</v>
      </c>
      <c r="H16" s="53"/>
      <c r="I16" s="53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</row>
    <row r="17">
      <c r="A17" s="53"/>
      <c r="B17" s="53"/>
      <c r="C17" s="53"/>
      <c r="D17" s="53"/>
      <c r="E17" s="53"/>
      <c r="F17" s="53"/>
      <c r="G17" s="53"/>
      <c r="H17" s="53"/>
      <c r="I17" s="53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</row>
    <row r="18">
      <c r="A18" s="52"/>
      <c r="B18" s="63" t="s">
        <v>164</v>
      </c>
      <c r="C18" s="74">
        <f>C16</f>
        <v>-340000</v>
      </c>
      <c r="D18" s="74">
        <f>C16+D16</f>
        <v>-675000</v>
      </c>
      <c r="E18" s="74">
        <f>SUM(C16:E16)</f>
        <v>-877500</v>
      </c>
      <c r="F18" s="74">
        <f>SUM(C16:F16)</f>
        <v>-831250</v>
      </c>
      <c r="G18" s="74">
        <f>SUM(C16:G16)</f>
        <v>-761875</v>
      </c>
      <c r="H18" s="53"/>
      <c r="I18" s="53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</row>
    <row r="19">
      <c r="A19" s="53"/>
      <c r="B19" s="53"/>
      <c r="C19" s="53"/>
      <c r="D19" s="53"/>
      <c r="E19" s="53"/>
      <c r="F19" s="53"/>
      <c r="G19" s="53"/>
      <c r="H19" s="53"/>
      <c r="I19" s="53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</row>
    <row r="20">
      <c r="A20" s="54"/>
      <c r="B20" s="69" t="s">
        <v>165</v>
      </c>
      <c r="C20" s="75">
        <f t="array" ref="C20">NPV(C7,C16:G16)</f>
        <v>-[redacted]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</row>
    <row r="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</row>
    <row r="2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</row>
    <row r="23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</row>
    <row r="24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</row>
    <row r="2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</row>
    <row r="26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</row>
    <row r="27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</row>
    <row r="28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</row>
  </sheetData>
  <mergeCells count="3">
    <mergeCell ref="C1:E1"/>
    <mergeCell ref="H12:I12"/>
    <mergeCell ref="H15:I1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7.0"/>
    <col customWidth="1" min="2" max="2" width="32.71"/>
    <col customWidth="1" min="7" max="7" width="15.86"/>
    <col customWidth="1" min="8" max="8" width="27.86"/>
  </cols>
  <sheetData>
    <row r="1">
      <c r="A1" s="52"/>
      <c r="B1" s="52" t="s">
        <v>149</v>
      </c>
      <c r="C1" s="52"/>
      <c r="F1" s="53"/>
      <c r="G1" s="53"/>
      <c r="H1" s="53"/>
      <c r="I1" s="53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</row>
    <row r="2">
      <c r="A2" s="53"/>
      <c r="B2" s="52" t="s">
        <v>150</v>
      </c>
      <c r="C2" s="53"/>
      <c r="D2" s="53"/>
      <c r="E2" s="53"/>
      <c r="F2" s="53"/>
      <c r="G2" s="53"/>
      <c r="H2" s="53"/>
      <c r="I2" s="53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</row>
    <row r="3">
      <c r="A3" s="52"/>
      <c r="B3" s="55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</row>
    <row r="4">
      <c r="A4" s="52"/>
      <c r="B4" s="55" t="s">
        <v>108</v>
      </c>
      <c r="C4" s="53"/>
      <c r="D4" s="53"/>
      <c r="E4" s="53"/>
      <c r="F4" s="53"/>
      <c r="G4" s="53"/>
      <c r="H4" s="53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</row>
    <row r="5">
      <c r="A5" s="53"/>
      <c r="B5" s="56" t="s">
        <v>151</v>
      </c>
      <c r="C5" s="57">
        <v>600.0</v>
      </c>
      <c r="D5" s="53"/>
      <c r="E5" s="53"/>
      <c r="F5" s="53"/>
      <c r="G5" s="52"/>
      <c r="H5" s="53"/>
      <c r="I5" s="53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</row>
    <row r="6">
      <c r="A6" s="53"/>
      <c r="B6" s="58" t="s">
        <v>152</v>
      </c>
      <c r="C6" s="59">
        <v>70.0</v>
      </c>
      <c r="D6" s="53"/>
      <c r="E6" s="53"/>
      <c r="F6" s="53"/>
      <c r="G6" s="52"/>
      <c r="H6" s="53"/>
      <c r="I6" s="53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</row>
    <row r="7">
      <c r="A7" s="53"/>
      <c r="B7" s="58" t="s">
        <v>153</v>
      </c>
      <c r="C7" s="60">
        <v>0.05</v>
      </c>
      <c r="D7" s="53"/>
      <c r="E7" s="53"/>
      <c r="F7" s="53"/>
      <c r="G7" s="53"/>
      <c r="H7" s="53"/>
      <c r="I7" s="53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</row>
    <row r="8">
      <c r="A8" s="53"/>
      <c r="B8" s="53"/>
      <c r="C8" s="53"/>
      <c r="D8" s="53"/>
      <c r="E8" s="53"/>
      <c r="F8" s="53"/>
      <c r="G8" s="53"/>
      <c r="H8" s="53"/>
      <c r="I8" s="53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</row>
    <row r="9">
      <c r="A9" s="53"/>
      <c r="B9" s="61"/>
      <c r="C9" s="62" t="s">
        <v>154</v>
      </c>
      <c r="D9" s="62" t="s">
        <v>155</v>
      </c>
      <c r="E9" s="62" t="s">
        <v>156</v>
      </c>
      <c r="F9" s="62" t="s">
        <v>157</v>
      </c>
      <c r="G9" s="62" t="s">
        <v>158</v>
      </c>
      <c r="H9" s="53"/>
      <c r="I9" s="53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</row>
    <row r="10">
      <c r="A10" s="52"/>
      <c r="B10" s="63" t="s">
        <v>159</v>
      </c>
      <c r="C10" s="72">
        <f t="shared" ref="C10:G10" si="1">C11*$C$5</f>
        <v>600000</v>
      </c>
      <c r="D10" s="72">
        <f t="shared" si="1"/>
        <v>1800000</v>
      </c>
      <c r="E10" s="72">
        <f t="shared" si="1"/>
        <v>5400000</v>
      </c>
      <c r="F10" s="72">
        <f t="shared" si="1"/>
        <v>16200000</v>
      </c>
      <c r="G10" s="72">
        <f t="shared" si="1"/>
        <v>48600000</v>
      </c>
      <c r="H10" s="53"/>
      <c r="I10" s="53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</row>
    <row r="11">
      <c r="A11" s="52"/>
      <c r="B11" s="58" t="s">
        <v>160</v>
      </c>
      <c r="C11" s="73">
        <v>1000.0</v>
      </c>
      <c r="D11" s="73">
        <f t="shared" ref="D11:G11" si="2">C11*3</f>
        <v>3000</v>
      </c>
      <c r="E11" s="73">
        <f t="shared" si="2"/>
        <v>9000</v>
      </c>
      <c r="F11" s="73">
        <f t="shared" si="2"/>
        <v>27000</v>
      </c>
      <c r="G11" s="73">
        <f t="shared" si="2"/>
        <v>81000</v>
      </c>
      <c r="H11" s="53"/>
      <c r="I11" s="53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</row>
    <row r="12">
      <c r="A12" s="66"/>
      <c r="B12" s="58" t="s">
        <v>161</v>
      </c>
      <c r="C12" s="72">
        <f t="shared" ref="C12:G12" si="3">C11*$C$6</f>
        <v>70000</v>
      </c>
      <c r="D12" s="72">
        <f t="shared" si="3"/>
        <v>210000</v>
      </c>
      <c r="E12" s="72">
        <f t="shared" si="3"/>
        <v>630000</v>
      </c>
      <c r="F12" s="72">
        <f t="shared" si="3"/>
        <v>1890000</v>
      </c>
      <c r="G12" s="72">
        <f t="shared" si="3"/>
        <v>5670000</v>
      </c>
      <c r="H12" s="66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</row>
    <row r="13">
      <c r="A13" s="52"/>
      <c r="B13" s="63" t="s">
        <v>162</v>
      </c>
      <c r="C13" s="72">
        <f t="shared" ref="C13:G13" si="4">C10-C12</f>
        <v>530000</v>
      </c>
      <c r="D13" s="72">
        <f t="shared" si="4"/>
        <v>1590000</v>
      </c>
      <c r="E13" s="72">
        <f t="shared" si="4"/>
        <v>4770000</v>
      </c>
      <c r="F13" s="72">
        <f t="shared" si="4"/>
        <v>14310000</v>
      </c>
      <c r="G13" s="72">
        <f t="shared" si="4"/>
        <v>42930000</v>
      </c>
      <c r="H13" s="53"/>
      <c r="I13" s="53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</row>
    <row r="14">
      <c r="A14" s="53"/>
      <c r="B14" s="61"/>
      <c r="C14" s="72"/>
      <c r="D14" s="72"/>
      <c r="E14" s="72"/>
      <c r="F14" s="72"/>
      <c r="G14" s="72"/>
      <c r="H14" s="53"/>
      <c r="I14" s="53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</row>
    <row r="15">
      <c r="A15" s="66"/>
      <c r="B15" s="58" t="s">
        <v>4</v>
      </c>
      <c r="C15" s="72">
        <v>650000.0</v>
      </c>
      <c r="D15" s="72">
        <v>800000.0</v>
      </c>
      <c r="E15" s="72">
        <v>900000.0</v>
      </c>
      <c r="F15" s="72">
        <v>1000000.0</v>
      </c>
      <c r="G15" s="72">
        <v>1500000.0</v>
      </c>
      <c r="H15" s="66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</row>
    <row r="16">
      <c r="A16" s="52"/>
      <c r="B16" s="63" t="s">
        <v>163</v>
      </c>
      <c r="C16" s="72">
        <f t="shared" ref="C16:G16" si="5">C13-C15</f>
        <v>-120000</v>
      </c>
      <c r="D16" s="72">
        <f t="shared" si="5"/>
        <v>790000</v>
      </c>
      <c r="E16" s="72">
        <f t="shared" si="5"/>
        <v>3870000</v>
      </c>
      <c r="F16" s="72">
        <f t="shared" si="5"/>
        <v>13310000</v>
      </c>
      <c r="G16" s="72">
        <f t="shared" si="5"/>
        <v>41430000</v>
      </c>
      <c r="H16" s="53"/>
      <c r="I16" s="53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</row>
    <row r="17">
      <c r="A17" s="53"/>
      <c r="B17" s="53"/>
      <c r="C17" s="53"/>
      <c r="D17" s="53"/>
      <c r="E17" s="53"/>
      <c r="F17" s="53"/>
      <c r="G17" s="53"/>
      <c r="H17" s="53"/>
      <c r="I17" s="53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</row>
    <row r="18">
      <c r="A18" s="52"/>
      <c r="B18" s="63" t="s">
        <v>164</v>
      </c>
      <c r="C18" s="74">
        <f>C16</f>
        <v>-120000</v>
      </c>
      <c r="D18" s="74">
        <f>C16+D16</f>
        <v>670000</v>
      </c>
      <c r="E18" s="74">
        <f>SUM(C16:E16)</f>
        <v>4540000</v>
      </c>
      <c r="F18" s="74">
        <f>SUM(C16:F16)</f>
        <v>17850000</v>
      </c>
      <c r="G18" s="74">
        <f>SUM(C16:G16)</f>
        <v>59280000</v>
      </c>
      <c r="H18" s="53"/>
      <c r="I18" s="53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</row>
    <row r="19">
      <c r="A19" s="53"/>
      <c r="B19" s="53"/>
      <c r="C19" s="53"/>
      <c r="D19" s="53"/>
      <c r="E19" s="53"/>
      <c r="F19" s="53"/>
      <c r="G19" s="53"/>
      <c r="H19" s="53"/>
      <c r="I19" s="53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</row>
    <row r="20">
      <c r="A20" s="54"/>
      <c r="B20" s="69" t="s">
        <v>165</v>
      </c>
      <c r="C20" s="75">
        <f t="array" ref="C20">NPV(C7,C16:G16)</f>
        <v>47356978.1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</row>
    <row r="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</row>
    <row r="2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</row>
    <row r="23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</row>
    <row r="24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</row>
    <row r="2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</row>
    <row r="26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</row>
    <row r="27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</row>
    <row r="28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</row>
  </sheetData>
  <mergeCells count="3">
    <mergeCell ref="C1:E1"/>
    <mergeCell ref="H12:I12"/>
    <mergeCell ref="H15:I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28.29"/>
    <col customWidth="1" min="2" max="2" width="24.71"/>
    <col customWidth="1" min="3" max="3" width="30.29"/>
  </cols>
  <sheetData>
    <row r="1">
      <c r="A1" s="5" t="s">
        <v>14</v>
      </c>
      <c r="C1" s="76"/>
    </row>
    <row r="2">
      <c r="C2" s="76"/>
    </row>
    <row r="3">
      <c r="A3" s="77" t="s">
        <v>71</v>
      </c>
      <c r="B3" s="77" t="s">
        <v>166</v>
      </c>
      <c r="C3" s="78" t="s">
        <v>167</v>
      </c>
    </row>
    <row r="4">
      <c r="A4" s="79" t="s">
        <v>168</v>
      </c>
      <c r="B4" s="19"/>
      <c r="C4" s="20"/>
    </row>
    <row r="5">
      <c r="A5" s="21" t="s">
        <v>169</v>
      </c>
      <c r="B5" s="21"/>
      <c r="C5" s="80" t="s">
        <v>170</v>
      </c>
    </row>
    <row r="6">
      <c r="A6" s="21" t="s">
        <v>171</v>
      </c>
      <c r="B6" s="21"/>
      <c r="C6" s="81"/>
    </row>
    <row r="7">
      <c r="A7" s="21" t="s">
        <v>172</v>
      </c>
      <c r="B7" s="21"/>
      <c r="C7" s="80" t="s">
        <v>173</v>
      </c>
    </row>
    <row r="8">
      <c r="A8" s="21" t="s">
        <v>174</v>
      </c>
      <c r="B8" s="21"/>
      <c r="C8" s="80" t="s">
        <v>175</v>
      </c>
    </row>
    <row r="9">
      <c r="A9" s="21" t="s">
        <v>176</v>
      </c>
      <c r="B9" s="21"/>
      <c r="C9" s="80" t="s">
        <v>177</v>
      </c>
    </row>
    <row r="10">
      <c r="A10" s="21" t="s">
        <v>178</v>
      </c>
      <c r="B10" s="82"/>
      <c r="C10" s="83"/>
    </row>
    <row r="11">
      <c r="A11" s="21" t="s">
        <v>179</v>
      </c>
      <c r="B11" s="82"/>
      <c r="C11" s="83"/>
    </row>
    <row r="12">
      <c r="A12" s="21" t="s">
        <v>180</v>
      </c>
      <c r="B12" s="82"/>
      <c r="C12" s="83"/>
    </row>
    <row r="13">
      <c r="A13" s="21" t="s">
        <v>181</v>
      </c>
      <c r="B13" s="82"/>
      <c r="C13" s="83"/>
    </row>
    <row r="14">
      <c r="A14" s="21" t="s">
        <v>182</v>
      </c>
      <c r="B14" s="82"/>
      <c r="C14" s="83"/>
    </row>
    <row r="15">
      <c r="A15" s="21" t="s">
        <v>183</v>
      </c>
      <c r="B15" s="82"/>
      <c r="C15" s="83"/>
    </row>
    <row r="16">
      <c r="A16" s="39" t="s">
        <v>184</v>
      </c>
      <c r="B16" s="82"/>
      <c r="C16" s="80" t="s">
        <v>185</v>
      </c>
    </row>
    <row r="17">
      <c r="A17" s="79" t="s">
        <v>186</v>
      </c>
      <c r="B17" s="19"/>
      <c r="C17" s="20"/>
    </row>
    <row r="18">
      <c r="A18" s="21" t="s">
        <v>187</v>
      </c>
      <c r="B18" s="21" t="s">
        <v>35</v>
      </c>
      <c r="C18" s="80" t="s">
        <v>188</v>
      </c>
    </row>
    <row r="19">
      <c r="A19" s="82"/>
      <c r="B19" s="82"/>
      <c r="C19" s="83"/>
    </row>
    <row r="20">
      <c r="A20" s="82"/>
      <c r="B20" s="82"/>
      <c r="C20" s="83"/>
    </row>
    <row r="21">
      <c r="A21" s="79" t="s">
        <v>189</v>
      </c>
      <c r="B21" s="19"/>
      <c r="C21" s="20"/>
    </row>
    <row r="22">
      <c r="A22" s="21" t="s">
        <v>38</v>
      </c>
      <c r="B22" s="21"/>
      <c r="C22" s="80" t="s">
        <v>190</v>
      </c>
    </row>
    <row r="23">
      <c r="A23" s="82"/>
      <c r="B23" s="82"/>
      <c r="C23" s="83"/>
    </row>
    <row r="24">
      <c r="A24" s="82"/>
      <c r="B24" s="82"/>
      <c r="C24" s="83"/>
    </row>
    <row r="25">
      <c r="A25" s="79" t="s">
        <v>191</v>
      </c>
      <c r="B25" s="19"/>
      <c r="C25" s="20"/>
    </row>
    <row r="26">
      <c r="A26" s="21" t="s">
        <v>192</v>
      </c>
      <c r="B26" s="84" t="s">
        <v>193</v>
      </c>
      <c r="C26" s="80" t="s">
        <v>194</v>
      </c>
    </row>
    <row r="27">
      <c r="A27" s="21" t="s">
        <v>195</v>
      </c>
      <c r="B27" s="84" t="s">
        <v>196</v>
      </c>
      <c r="C27" s="80" t="s">
        <v>197</v>
      </c>
    </row>
    <row r="28">
      <c r="A28" s="21" t="s">
        <v>198</v>
      </c>
      <c r="B28" s="85" t="s">
        <v>199</v>
      </c>
      <c r="C28" s="80" t="s">
        <v>200</v>
      </c>
    </row>
    <row r="29">
      <c r="A29" s="82"/>
      <c r="B29" s="86"/>
      <c r="C29" s="83"/>
    </row>
    <row r="30">
      <c r="A30" s="79" t="s">
        <v>201</v>
      </c>
      <c r="B30" s="19"/>
      <c r="C30" s="20"/>
    </row>
    <row r="31">
      <c r="A31" s="21" t="s">
        <v>202</v>
      </c>
      <c r="B31" s="21" t="s">
        <v>56</v>
      </c>
      <c r="C31" s="80" t="s">
        <v>203</v>
      </c>
    </row>
    <row r="32">
      <c r="A32" s="82"/>
      <c r="B32" s="82"/>
      <c r="C32" s="83"/>
    </row>
    <row r="33">
      <c r="A33" s="79" t="s">
        <v>204</v>
      </c>
      <c r="B33" s="19"/>
      <c r="C33" s="20"/>
    </row>
    <row r="34">
      <c r="A34" s="21" t="s">
        <v>63</v>
      </c>
      <c r="B34" s="21" t="s">
        <v>66</v>
      </c>
      <c r="C34" s="80" t="s">
        <v>205</v>
      </c>
    </row>
    <row r="35">
      <c r="A35" s="79" t="s">
        <v>47</v>
      </c>
      <c r="B35" s="19"/>
      <c r="C35" s="20"/>
    </row>
    <row r="36">
      <c r="A36" s="82"/>
      <c r="B36" s="82"/>
      <c r="C36" s="80" t="s">
        <v>206</v>
      </c>
    </row>
    <row r="37">
      <c r="A37" s="79" t="s">
        <v>57</v>
      </c>
      <c r="B37" s="19"/>
      <c r="C37" s="20"/>
    </row>
    <row r="38">
      <c r="A38" s="82"/>
      <c r="B38" s="82"/>
      <c r="C38" s="80" t="s">
        <v>207</v>
      </c>
    </row>
    <row r="39">
      <c r="A39" s="5"/>
      <c r="C39" s="76"/>
    </row>
    <row r="40">
      <c r="A40" s="5" t="s">
        <v>208</v>
      </c>
      <c r="C40" s="76"/>
    </row>
    <row r="41">
      <c r="A41" s="77" t="s">
        <v>209</v>
      </c>
      <c r="B41" s="77" t="s">
        <v>210</v>
      </c>
      <c r="C41" s="78" t="s">
        <v>167</v>
      </c>
      <c r="D41" s="77" t="s">
        <v>211</v>
      </c>
    </row>
    <row r="42">
      <c r="A42" s="21" t="s">
        <v>212</v>
      </c>
      <c r="B42" s="21" t="s">
        <v>213</v>
      </c>
      <c r="C42" s="87" t="s">
        <v>214</v>
      </c>
      <c r="D42" s="21" t="s">
        <v>215</v>
      </c>
    </row>
    <row r="43">
      <c r="A43" s="21" t="s">
        <v>216</v>
      </c>
      <c r="B43" s="21" t="s">
        <v>217</v>
      </c>
      <c r="C43" s="80" t="s">
        <v>218</v>
      </c>
      <c r="D43" s="21" t="s">
        <v>219</v>
      </c>
    </row>
    <row r="44">
      <c r="A44" s="21" t="s">
        <v>220</v>
      </c>
      <c r="B44" s="21" t="s">
        <v>221</v>
      </c>
      <c r="C44" s="87" t="s">
        <v>222</v>
      </c>
      <c r="D44" s="21" t="s">
        <v>223</v>
      </c>
    </row>
    <row r="45">
      <c r="A45" s="21" t="s">
        <v>224</v>
      </c>
      <c r="B45" s="21" t="s">
        <v>225</v>
      </c>
      <c r="C45" s="80" t="s">
        <v>226</v>
      </c>
      <c r="D45" s="21" t="s">
        <v>227</v>
      </c>
    </row>
    <row r="46">
      <c r="A46" s="21" t="s">
        <v>228</v>
      </c>
      <c r="B46" s="21" t="s">
        <v>229</v>
      </c>
      <c r="C46" s="80" t="s">
        <v>230</v>
      </c>
      <c r="D46" s="21" t="s">
        <v>219</v>
      </c>
    </row>
    <row r="47">
      <c r="C47" s="76"/>
    </row>
    <row r="48">
      <c r="A48" s="5" t="s">
        <v>231</v>
      </c>
      <c r="C48" s="76"/>
    </row>
    <row r="49">
      <c r="A49" s="1" t="s">
        <v>232</v>
      </c>
      <c r="C49" s="76"/>
    </row>
    <row r="50">
      <c r="A50" s="1" t="s">
        <v>233</v>
      </c>
      <c r="C50" s="76"/>
    </row>
    <row r="51">
      <c r="A51" s="1" t="s">
        <v>234</v>
      </c>
      <c r="C51" s="76"/>
    </row>
    <row r="52">
      <c r="A52" s="1" t="s">
        <v>235</v>
      </c>
      <c r="C52" s="76"/>
    </row>
    <row r="53">
      <c r="C53" s="76"/>
    </row>
    <row r="54">
      <c r="A54" s="5" t="s">
        <v>236</v>
      </c>
      <c r="C54" s="76"/>
    </row>
    <row r="55">
      <c r="A55" s="88" t="s">
        <v>237</v>
      </c>
      <c r="C55" s="76"/>
    </row>
    <row r="56">
      <c r="A56" s="89" t="s">
        <v>238</v>
      </c>
      <c r="C56" s="76"/>
    </row>
    <row r="57">
      <c r="A57" s="89" t="s">
        <v>239</v>
      </c>
      <c r="C57" s="76"/>
    </row>
    <row r="58">
      <c r="A58" s="89" t="s">
        <v>240</v>
      </c>
      <c r="C58" s="76"/>
    </row>
    <row r="59">
      <c r="A59" s="89" t="s">
        <v>241</v>
      </c>
      <c r="C59" s="76"/>
    </row>
    <row r="60">
      <c r="A60" s="88" t="s">
        <v>242</v>
      </c>
      <c r="C60" s="76"/>
    </row>
    <row r="61">
      <c r="A61" s="89" t="s">
        <v>243</v>
      </c>
      <c r="C61" s="76"/>
    </row>
    <row r="62">
      <c r="A62" s="89" t="s">
        <v>244</v>
      </c>
      <c r="C62" s="76"/>
    </row>
    <row r="63">
      <c r="A63" s="89" t="s">
        <v>245</v>
      </c>
      <c r="C63" s="76"/>
    </row>
    <row r="64">
      <c r="A64" s="89" t="s">
        <v>246</v>
      </c>
      <c r="C64" s="76"/>
    </row>
    <row r="65">
      <c r="A65" s="89" t="s">
        <v>247</v>
      </c>
      <c r="C65" s="76"/>
    </row>
    <row r="66">
      <c r="C66" s="76"/>
    </row>
    <row r="67">
      <c r="C67" s="76"/>
    </row>
    <row r="68">
      <c r="C68" s="76"/>
    </row>
    <row r="69">
      <c r="C69" s="76"/>
    </row>
    <row r="70">
      <c r="C70" s="76"/>
    </row>
    <row r="71">
      <c r="C71" s="76"/>
    </row>
    <row r="72">
      <c r="C72" s="76"/>
    </row>
    <row r="73">
      <c r="C73" s="76"/>
    </row>
    <row r="74">
      <c r="C74" s="76"/>
    </row>
    <row r="75">
      <c r="C75" s="76"/>
    </row>
    <row r="76">
      <c r="C76" s="76"/>
    </row>
    <row r="77">
      <c r="C77" s="76"/>
    </row>
    <row r="78">
      <c r="C78" s="76"/>
    </row>
    <row r="79">
      <c r="C79" s="76"/>
    </row>
    <row r="80">
      <c r="C80" s="76"/>
    </row>
    <row r="81">
      <c r="C81" s="76"/>
    </row>
    <row r="82">
      <c r="C82" s="76"/>
    </row>
    <row r="83">
      <c r="C83" s="76"/>
    </row>
    <row r="84">
      <c r="C84" s="76"/>
    </row>
    <row r="85">
      <c r="C85" s="76"/>
    </row>
    <row r="86">
      <c r="C86" s="76"/>
    </row>
    <row r="87">
      <c r="C87" s="76"/>
    </row>
    <row r="88">
      <c r="C88" s="76"/>
    </row>
    <row r="89">
      <c r="C89" s="76"/>
    </row>
    <row r="90">
      <c r="C90" s="76"/>
    </row>
    <row r="91">
      <c r="C91" s="76"/>
    </row>
    <row r="92">
      <c r="C92" s="76"/>
    </row>
    <row r="93">
      <c r="C93" s="76"/>
    </row>
    <row r="94">
      <c r="C94" s="76"/>
    </row>
    <row r="95">
      <c r="C95" s="76"/>
    </row>
    <row r="96">
      <c r="C96" s="76"/>
    </row>
    <row r="97">
      <c r="C97" s="76"/>
    </row>
    <row r="98">
      <c r="C98" s="76"/>
    </row>
    <row r="99">
      <c r="C99" s="76"/>
    </row>
    <row r="100">
      <c r="C100" s="76"/>
    </row>
    <row r="101">
      <c r="C101" s="76"/>
    </row>
    <row r="102">
      <c r="C102" s="76"/>
    </row>
    <row r="103">
      <c r="C103" s="76"/>
    </row>
    <row r="104">
      <c r="C104" s="76"/>
    </row>
    <row r="105">
      <c r="C105" s="76"/>
    </row>
    <row r="106">
      <c r="C106" s="76"/>
    </row>
    <row r="107">
      <c r="C107" s="76"/>
    </row>
    <row r="108">
      <c r="C108" s="76"/>
    </row>
    <row r="109">
      <c r="C109" s="76"/>
    </row>
    <row r="110">
      <c r="C110" s="76"/>
    </row>
    <row r="111">
      <c r="C111" s="76"/>
    </row>
    <row r="112">
      <c r="C112" s="76"/>
    </row>
    <row r="113">
      <c r="C113" s="76"/>
    </row>
    <row r="114">
      <c r="C114" s="76"/>
    </row>
    <row r="115">
      <c r="C115" s="76"/>
    </row>
    <row r="116">
      <c r="C116" s="76"/>
    </row>
    <row r="117">
      <c r="C117" s="76"/>
    </row>
    <row r="118">
      <c r="C118" s="76"/>
    </row>
    <row r="119">
      <c r="C119" s="76"/>
    </row>
    <row r="120">
      <c r="C120" s="76"/>
    </row>
    <row r="121">
      <c r="C121" s="76"/>
    </row>
    <row r="122">
      <c r="C122" s="76"/>
    </row>
    <row r="123">
      <c r="C123" s="76"/>
    </row>
    <row r="124">
      <c r="C124" s="76"/>
    </row>
    <row r="125">
      <c r="C125" s="76"/>
    </row>
    <row r="126">
      <c r="C126" s="76"/>
    </row>
    <row r="127">
      <c r="C127" s="76"/>
    </row>
    <row r="128">
      <c r="C128" s="76"/>
    </row>
    <row r="129">
      <c r="C129" s="76"/>
    </row>
    <row r="130">
      <c r="C130" s="76"/>
    </row>
    <row r="131">
      <c r="C131" s="76"/>
    </row>
    <row r="132">
      <c r="C132" s="76"/>
    </row>
    <row r="133">
      <c r="C133" s="76"/>
    </row>
    <row r="134">
      <c r="C134" s="76"/>
    </row>
    <row r="135">
      <c r="C135" s="76"/>
    </row>
    <row r="136">
      <c r="C136" s="76"/>
    </row>
    <row r="137">
      <c r="C137" s="76"/>
    </row>
    <row r="138">
      <c r="C138" s="76"/>
    </row>
    <row r="139">
      <c r="C139" s="76"/>
    </row>
    <row r="140">
      <c r="C140" s="76"/>
    </row>
    <row r="141">
      <c r="C141" s="76"/>
    </row>
    <row r="142">
      <c r="C142" s="76"/>
    </row>
    <row r="143">
      <c r="C143" s="76"/>
    </row>
    <row r="144">
      <c r="C144" s="76"/>
    </row>
    <row r="145">
      <c r="C145" s="76"/>
    </row>
    <row r="146">
      <c r="C146" s="76"/>
    </row>
    <row r="147">
      <c r="C147" s="76"/>
    </row>
    <row r="148">
      <c r="C148" s="76"/>
    </row>
    <row r="149">
      <c r="C149" s="76"/>
    </row>
    <row r="150">
      <c r="C150" s="76"/>
    </row>
    <row r="151">
      <c r="C151" s="76"/>
    </row>
    <row r="152">
      <c r="C152" s="76"/>
    </row>
    <row r="153">
      <c r="C153" s="76"/>
    </row>
    <row r="154">
      <c r="C154" s="76"/>
    </row>
    <row r="155">
      <c r="C155" s="76"/>
    </row>
    <row r="156">
      <c r="C156" s="76"/>
    </row>
    <row r="157">
      <c r="C157" s="76"/>
    </row>
    <row r="158">
      <c r="C158" s="76"/>
    </row>
    <row r="159">
      <c r="C159" s="76"/>
    </row>
    <row r="160">
      <c r="C160" s="76"/>
    </row>
    <row r="161">
      <c r="C161" s="76"/>
    </row>
    <row r="162">
      <c r="C162" s="76"/>
    </row>
    <row r="163">
      <c r="C163" s="76"/>
    </row>
    <row r="164">
      <c r="C164" s="76"/>
    </row>
    <row r="165">
      <c r="C165" s="76"/>
    </row>
    <row r="166">
      <c r="C166" s="76"/>
    </row>
    <row r="167">
      <c r="C167" s="76"/>
    </row>
    <row r="168">
      <c r="C168" s="76"/>
    </row>
    <row r="169">
      <c r="C169" s="76"/>
    </row>
    <row r="170">
      <c r="C170" s="76"/>
    </row>
    <row r="171">
      <c r="C171" s="76"/>
    </row>
    <row r="172">
      <c r="C172" s="76"/>
    </row>
    <row r="173">
      <c r="C173" s="76"/>
    </row>
    <row r="174">
      <c r="C174" s="76"/>
    </row>
    <row r="175">
      <c r="C175" s="76"/>
    </row>
    <row r="176">
      <c r="C176" s="76"/>
    </row>
    <row r="177">
      <c r="C177" s="76"/>
    </row>
    <row r="178">
      <c r="C178" s="76"/>
    </row>
    <row r="179">
      <c r="C179" s="76"/>
    </row>
    <row r="180">
      <c r="C180" s="76"/>
    </row>
    <row r="181">
      <c r="C181" s="76"/>
    </row>
    <row r="182">
      <c r="C182" s="76"/>
    </row>
    <row r="183">
      <c r="C183" s="76"/>
    </row>
    <row r="184">
      <c r="C184" s="76"/>
    </row>
    <row r="185">
      <c r="C185" s="76"/>
    </row>
    <row r="186">
      <c r="C186" s="76"/>
    </row>
    <row r="187">
      <c r="C187" s="76"/>
    </row>
    <row r="188">
      <c r="C188" s="76"/>
    </row>
    <row r="189">
      <c r="C189" s="76"/>
    </row>
    <row r="190">
      <c r="C190" s="76"/>
    </row>
    <row r="191">
      <c r="C191" s="76"/>
    </row>
    <row r="192">
      <c r="C192" s="76"/>
    </row>
    <row r="193">
      <c r="C193" s="76"/>
    </row>
    <row r="194">
      <c r="C194" s="76"/>
    </row>
    <row r="195">
      <c r="C195" s="76"/>
    </row>
    <row r="196">
      <c r="C196" s="76"/>
    </row>
    <row r="197">
      <c r="C197" s="76"/>
    </row>
    <row r="198">
      <c r="C198" s="76"/>
    </row>
    <row r="199">
      <c r="C199" s="76"/>
    </row>
    <row r="200">
      <c r="C200" s="76"/>
    </row>
    <row r="201">
      <c r="C201" s="76"/>
    </row>
    <row r="202">
      <c r="C202" s="76"/>
    </row>
    <row r="203">
      <c r="C203" s="76"/>
    </row>
    <row r="204">
      <c r="C204" s="76"/>
    </row>
    <row r="205">
      <c r="C205" s="76"/>
    </row>
    <row r="206">
      <c r="C206" s="76"/>
    </row>
    <row r="207">
      <c r="C207" s="76"/>
    </row>
    <row r="208">
      <c r="C208" s="76"/>
    </row>
    <row r="209">
      <c r="C209" s="76"/>
    </row>
    <row r="210">
      <c r="C210" s="76"/>
    </row>
    <row r="211">
      <c r="C211" s="76"/>
    </row>
    <row r="212">
      <c r="C212" s="76"/>
    </row>
    <row r="213">
      <c r="C213" s="76"/>
    </row>
    <row r="214">
      <c r="C214" s="76"/>
    </row>
    <row r="215">
      <c r="C215" s="76"/>
    </row>
    <row r="216">
      <c r="C216" s="76"/>
    </row>
    <row r="217">
      <c r="C217" s="76"/>
    </row>
    <row r="218">
      <c r="C218" s="76"/>
    </row>
    <row r="219">
      <c r="C219" s="76"/>
    </row>
    <row r="220">
      <c r="C220" s="76"/>
    </row>
    <row r="221">
      <c r="C221" s="76"/>
    </row>
    <row r="222">
      <c r="C222" s="76"/>
    </row>
    <row r="223">
      <c r="C223" s="76"/>
    </row>
    <row r="224">
      <c r="C224" s="76"/>
    </row>
    <row r="225">
      <c r="C225" s="76"/>
    </row>
    <row r="226">
      <c r="C226" s="76"/>
    </row>
    <row r="227">
      <c r="C227" s="76"/>
    </row>
    <row r="228">
      <c r="C228" s="76"/>
    </row>
    <row r="229">
      <c r="C229" s="76"/>
    </row>
    <row r="230">
      <c r="C230" s="76"/>
    </row>
    <row r="231">
      <c r="C231" s="76"/>
    </row>
    <row r="232">
      <c r="C232" s="76"/>
    </row>
    <row r="233">
      <c r="C233" s="76"/>
    </row>
    <row r="234">
      <c r="C234" s="76"/>
    </row>
    <row r="235">
      <c r="C235" s="76"/>
    </row>
    <row r="236">
      <c r="C236" s="76"/>
    </row>
    <row r="237">
      <c r="C237" s="76"/>
    </row>
    <row r="238">
      <c r="C238" s="76"/>
    </row>
    <row r="239">
      <c r="C239" s="76"/>
    </row>
    <row r="240">
      <c r="C240" s="76"/>
    </row>
    <row r="241">
      <c r="C241" s="76"/>
    </row>
    <row r="242">
      <c r="C242" s="76"/>
    </row>
    <row r="243">
      <c r="C243" s="76"/>
    </row>
    <row r="244">
      <c r="C244" s="76"/>
    </row>
    <row r="245">
      <c r="C245" s="76"/>
    </row>
    <row r="246">
      <c r="C246" s="76"/>
    </row>
    <row r="247">
      <c r="C247" s="76"/>
    </row>
    <row r="248">
      <c r="C248" s="76"/>
    </row>
    <row r="249">
      <c r="C249" s="76"/>
    </row>
    <row r="250">
      <c r="C250" s="76"/>
    </row>
    <row r="251">
      <c r="C251" s="76"/>
    </row>
    <row r="252">
      <c r="C252" s="76"/>
    </row>
    <row r="253">
      <c r="C253" s="76"/>
    </row>
    <row r="254">
      <c r="C254" s="76"/>
    </row>
    <row r="255">
      <c r="C255" s="76"/>
    </row>
    <row r="256">
      <c r="C256" s="76"/>
    </row>
    <row r="257">
      <c r="C257" s="76"/>
    </row>
    <row r="258">
      <c r="C258" s="76"/>
    </row>
    <row r="259">
      <c r="C259" s="76"/>
    </row>
    <row r="260">
      <c r="C260" s="76"/>
    </row>
    <row r="261">
      <c r="C261" s="76"/>
    </row>
    <row r="262">
      <c r="C262" s="76"/>
    </row>
    <row r="263">
      <c r="C263" s="76"/>
    </row>
    <row r="264">
      <c r="C264" s="76"/>
    </row>
    <row r="265">
      <c r="C265" s="76"/>
    </row>
    <row r="266">
      <c r="C266" s="76"/>
    </row>
    <row r="267">
      <c r="C267" s="76"/>
    </row>
    <row r="268">
      <c r="C268" s="76"/>
    </row>
    <row r="269">
      <c r="C269" s="76"/>
    </row>
    <row r="270">
      <c r="C270" s="76"/>
    </row>
    <row r="271">
      <c r="C271" s="76"/>
    </row>
    <row r="272">
      <c r="C272" s="76"/>
    </row>
    <row r="273">
      <c r="C273" s="76"/>
    </row>
    <row r="274">
      <c r="C274" s="76"/>
    </row>
    <row r="275">
      <c r="C275" s="76"/>
    </row>
    <row r="276">
      <c r="C276" s="76"/>
    </row>
    <row r="277">
      <c r="C277" s="76"/>
    </row>
    <row r="278">
      <c r="C278" s="76"/>
    </row>
    <row r="279">
      <c r="C279" s="76"/>
    </row>
    <row r="280">
      <c r="C280" s="76"/>
    </row>
    <row r="281">
      <c r="C281" s="76"/>
    </row>
    <row r="282">
      <c r="C282" s="76"/>
    </row>
    <row r="283">
      <c r="C283" s="76"/>
    </row>
    <row r="284">
      <c r="C284" s="76"/>
    </row>
    <row r="285">
      <c r="C285" s="76"/>
    </row>
    <row r="286">
      <c r="C286" s="76"/>
    </row>
    <row r="287">
      <c r="C287" s="76"/>
    </row>
    <row r="288">
      <c r="C288" s="76"/>
    </row>
    <row r="289">
      <c r="C289" s="76"/>
    </row>
    <row r="290">
      <c r="C290" s="76"/>
    </row>
    <row r="291">
      <c r="C291" s="76"/>
    </row>
    <row r="292">
      <c r="C292" s="76"/>
    </row>
    <row r="293">
      <c r="C293" s="76"/>
    </row>
    <row r="294">
      <c r="C294" s="76"/>
    </row>
    <row r="295">
      <c r="C295" s="76"/>
    </row>
    <row r="296">
      <c r="C296" s="76"/>
    </row>
    <row r="297">
      <c r="C297" s="76"/>
    </row>
    <row r="298">
      <c r="C298" s="76"/>
    </row>
    <row r="299">
      <c r="C299" s="76"/>
    </row>
    <row r="300">
      <c r="C300" s="76"/>
    </row>
    <row r="301">
      <c r="C301" s="76"/>
    </row>
    <row r="302">
      <c r="C302" s="76"/>
    </row>
    <row r="303">
      <c r="C303" s="76"/>
    </row>
    <row r="304">
      <c r="C304" s="76"/>
    </row>
    <row r="305">
      <c r="C305" s="76"/>
    </row>
    <row r="306">
      <c r="C306" s="76"/>
    </row>
    <row r="307">
      <c r="C307" s="76"/>
    </row>
    <row r="308">
      <c r="C308" s="76"/>
    </row>
    <row r="309">
      <c r="C309" s="76"/>
    </row>
    <row r="310">
      <c r="C310" s="76"/>
    </row>
    <row r="311">
      <c r="C311" s="76"/>
    </row>
    <row r="312">
      <c r="C312" s="76"/>
    </row>
    <row r="313">
      <c r="C313" s="76"/>
    </row>
    <row r="314">
      <c r="C314" s="76"/>
    </row>
    <row r="315">
      <c r="C315" s="76"/>
    </row>
    <row r="316">
      <c r="C316" s="76"/>
    </row>
    <row r="317">
      <c r="C317" s="76"/>
    </row>
    <row r="318">
      <c r="C318" s="76"/>
    </row>
    <row r="319">
      <c r="C319" s="76"/>
    </row>
    <row r="320">
      <c r="C320" s="76"/>
    </row>
    <row r="321">
      <c r="C321" s="76"/>
    </row>
    <row r="322">
      <c r="C322" s="76"/>
    </row>
    <row r="323">
      <c r="C323" s="76"/>
    </row>
    <row r="324">
      <c r="C324" s="76"/>
    </row>
    <row r="325">
      <c r="C325" s="76"/>
    </row>
    <row r="326">
      <c r="C326" s="76"/>
    </row>
    <row r="327">
      <c r="C327" s="76"/>
    </row>
    <row r="328">
      <c r="C328" s="76"/>
    </row>
    <row r="329">
      <c r="C329" s="76"/>
    </row>
    <row r="330">
      <c r="C330" s="76"/>
    </row>
    <row r="331">
      <c r="C331" s="76"/>
    </row>
    <row r="332">
      <c r="C332" s="76"/>
    </row>
    <row r="333">
      <c r="C333" s="76"/>
    </row>
    <row r="334">
      <c r="C334" s="76"/>
    </row>
    <row r="335">
      <c r="C335" s="76"/>
    </row>
    <row r="336">
      <c r="C336" s="76"/>
    </row>
    <row r="337">
      <c r="C337" s="76"/>
    </row>
    <row r="338">
      <c r="C338" s="76"/>
    </row>
    <row r="339">
      <c r="C339" s="76"/>
    </row>
    <row r="340">
      <c r="C340" s="76"/>
    </row>
    <row r="341">
      <c r="C341" s="76"/>
    </row>
    <row r="342">
      <c r="C342" s="76"/>
    </row>
    <row r="343">
      <c r="C343" s="76"/>
    </row>
    <row r="344">
      <c r="C344" s="76"/>
    </row>
    <row r="345">
      <c r="C345" s="76"/>
    </row>
    <row r="346">
      <c r="C346" s="76"/>
    </row>
    <row r="347">
      <c r="C347" s="76"/>
    </row>
    <row r="348">
      <c r="C348" s="76"/>
    </row>
    <row r="349">
      <c r="C349" s="76"/>
    </row>
    <row r="350">
      <c r="C350" s="76"/>
    </row>
    <row r="351">
      <c r="C351" s="76"/>
    </row>
    <row r="352">
      <c r="C352" s="76"/>
    </row>
    <row r="353">
      <c r="C353" s="76"/>
    </row>
    <row r="354">
      <c r="C354" s="76"/>
    </row>
    <row r="355">
      <c r="C355" s="76"/>
    </row>
    <row r="356">
      <c r="C356" s="76"/>
    </row>
    <row r="357">
      <c r="C357" s="76"/>
    </row>
    <row r="358">
      <c r="C358" s="76"/>
    </row>
    <row r="359">
      <c r="C359" s="76"/>
    </row>
    <row r="360">
      <c r="C360" s="76"/>
    </row>
    <row r="361">
      <c r="C361" s="76"/>
    </row>
    <row r="362">
      <c r="C362" s="76"/>
    </row>
    <row r="363">
      <c r="C363" s="76"/>
    </row>
    <row r="364">
      <c r="C364" s="76"/>
    </row>
    <row r="365">
      <c r="C365" s="76"/>
    </row>
    <row r="366">
      <c r="C366" s="76"/>
    </row>
    <row r="367">
      <c r="C367" s="76"/>
    </row>
    <row r="368">
      <c r="C368" s="76"/>
    </row>
    <row r="369">
      <c r="C369" s="76"/>
    </row>
    <row r="370">
      <c r="C370" s="76"/>
    </row>
    <row r="371">
      <c r="C371" s="76"/>
    </row>
    <row r="372">
      <c r="C372" s="76"/>
    </row>
    <row r="373">
      <c r="C373" s="76"/>
    </row>
    <row r="374">
      <c r="C374" s="76"/>
    </row>
    <row r="375">
      <c r="C375" s="76"/>
    </row>
    <row r="376">
      <c r="C376" s="76"/>
    </row>
    <row r="377">
      <c r="C377" s="76"/>
    </row>
    <row r="378">
      <c r="C378" s="76"/>
    </row>
    <row r="379">
      <c r="C379" s="76"/>
    </row>
    <row r="380">
      <c r="C380" s="76"/>
    </row>
    <row r="381">
      <c r="C381" s="76"/>
    </row>
    <row r="382">
      <c r="C382" s="76"/>
    </row>
    <row r="383">
      <c r="C383" s="76"/>
    </row>
    <row r="384">
      <c r="C384" s="76"/>
    </row>
    <row r="385">
      <c r="C385" s="76"/>
    </row>
    <row r="386">
      <c r="C386" s="76"/>
    </row>
    <row r="387">
      <c r="C387" s="76"/>
    </row>
    <row r="388">
      <c r="C388" s="76"/>
    </row>
    <row r="389">
      <c r="C389" s="76"/>
    </row>
    <row r="390">
      <c r="C390" s="76"/>
    </row>
    <row r="391">
      <c r="C391" s="76"/>
    </row>
    <row r="392">
      <c r="C392" s="76"/>
    </row>
    <row r="393">
      <c r="C393" s="76"/>
    </row>
    <row r="394">
      <c r="C394" s="76"/>
    </row>
    <row r="395">
      <c r="C395" s="76"/>
    </row>
    <row r="396">
      <c r="C396" s="76"/>
    </row>
    <row r="397">
      <c r="C397" s="76"/>
    </row>
    <row r="398">
      <c r="C398" s="76"/>
    </row>
    <row r="399">
      <c r="C399" s="76"/>
    </row>
    <row r="400">
      <c r="C400" s="76"/>
    </row>
    <row r="401">
      <c r="C401" s="76"/>
    </row>
    <row r="402">
      <c r="C402" s="76"/>
    </row>
    <row r="403">
      <c r="C403" s="76"/>
    </row>
    <row r="404">
      <c r="C404" s="76"/>
    </row>
    <row r="405">
      <c r="C405" s="76"/>
    </row>
    <row r="406">
      <c r="C406" s="76"/>
    </row>
    <row r="407">
      <c r="C407" s="76"/>
    </row>
    <row r="408">
      <c r="C408" s="76"/>
    </row>
    <row r="409">
      <c r="C409" s="76"/>
    </row>
    <row r="410">
      <c r="C410" s="76"/>
    </row>
    <row r="411">
      <c r="C411" s="76"/>
    </row>
    <row r="412">
      <c r="C412" s="76"/>
    </row>
    <row r="413">
      <c r="C413" s="76"/>
    </row>
    <row r="414">
      <c r="C414" s="76"/>
    </row>
    <row r="415">
      <c r="C415" s="76"/>
    </row>
    <row r="416">
      <c r="C416" s="76"/>
    </row>
    <row r="417">
      <c r="C417" s="76"/>
    </row>
    <row r="418">
      <c r="C418" s="76"/>
    </row>
    <row r="419">
      <c r="C419" s="76"/>
    </row>
    <row r="420">
      <c r="C420" s="76"/>
    </row>
    <row r="421">
      <c r="C421" s="76"/>
    </row>
    <row r="422">
      <c r="C422" s="76"/>
    </row>
    <row r="423">
      <c r="C423" s="76"/>
    </row>
    <row r="424">
      <c r="C424" s="76"/>
    </row>
    <row r="425">
      <c r="C425" s="76"/>
    </row>
    <row r="426">
      <c r="C426" s="76"/>
    </row>
    <row r="427">
      <c r="C427" s="76"/>
    </row>
    <row r="428">
      <c r="C428" s="76"/>
    </row>
    <row r="429">
      <c r="C429" s="76"/>
    </row>
    <row r="430">
      <c r="C430" s="76"/>
    </row>
    <row r="431">
      <c r="C431" s="76"/>
    </row>
    <row r="432">
      <c r="C432" s="76"/>
    </row>
    <row r="433">
      <c r="C433" s="76"/>
    </row>
    <row r="434">
      <c r="C434" s="76"/>
    </row>
    <row r="435">
      <c r="C435" s="76"/>
    </row>
    <row r="436">
      <c r="C436" s="76"/>
    </row>
    <row r="437">
      <c r="C437" s="76"/>
    </row>
    <row r="438">
      <c r="C438" s="76"/>
    </row>
    <row r="439">
      <c r="C439" s="76"/>
    </row>
    <row r="440">
      <c r="C440" s="76"/>
    </row>
    <row r="441">
      <c r="C441" s="76"/>
    </row>
    <row r="442">
      <c r="C442" s="76"/>
    </row>
    <row r="443">
      <c r="C443" s="76"/>
    </row>
    <row r="444">
      <c r="C444" s="76"/>
    </row>
    <row r="445">
      <c r="C445" s="76"/>
    </row>
    <row r="446">
      <c r="C446" s="76"/>
    </row>
    <row r="447">
      <c r="C447" s="76"/>
    </row>
    <row r="448">
      <c r="C448" s="76"/>
    </row>
    <row r="449">
      <c r="C449" s="76"/>
    </row>
    <row r="450">
      <c r="C450" s="76"/>
    </row>
    <row r="451">
      <c r="C451" s="76"/>
    </row>
    <row r="452">
      <c r="C452" s="76"/>
    </row>
    <row r="453">
      <c r="C453" s="76"/>
    </row>
    <row r="454">
      <c r="C454" s="76"/>
    </row>
    <row r="455">
      <c r="C455" s="76"/>
    </row>
    <row r="456">
      <c r="C456" s="76"/>
    </row>
    <row r="457">
      <c r="C457" s="76"/>
    </row>
    <row r="458">
      <c r="C458" s="76"/>
    </row>
    <row r="459">
      <c r="C459" s="76"/>
    </row>
    <row r="460">
      <c r="C460" s="76"/>
    </row>
    <row r="461">
      <c r="C461" s="76"/>
    </row>
    <row r="462">
      <c r="C462" s="76"/>
    </row>
    <row r="463">
      <c r="C463" s="76"/>
    </row>
    <row r="464">
      <c r="C464" s="76"/>
    </row>
    <row r="465">
      <c r="C465" s="76"/>
    </row>
    <row r="466">
      <c r="C466" s="76"/>
    </row>
    <row r="467">
      <c r="C467" s="76"/>
    </row>
    <row r="468">
      <c r="C468" s="76"/>
    </row>
    <row r="469">
      <c r="C469" s="76"/>
    </row>
    <row r="470">
      <c r="C470" s="76"/>
    </row>
    <row r="471">
      <c r="C471" s="76"/>
    </row>
    <row r="472">
      <c r="C472" s="76"/>
    </row>
    <row r="473">
      <c r="C473" s="76"/>
    </row>
    <row r="474">
      <c r="C474" s="76"/>
    </row>
    <row r="475">
      <c r="C475" s="76"/>
    </row>
    <row r="476">
      <c r="C476" s="76"/>
    </row>
    <row r="477">
      <c r="C477" s="76"/>
    </row>
    <row r="478">
      <c r="C478" s="76"/>
    </row>
    <row r="479">
      <c r="C479" s="76"/>
    </row>
    <row r="480">
      <c r="C480" s="76"/>
    </row>
    <row r="481">
      <c r="C481" s="76"/>
    </row>
    <row r="482">
      <c r="C482" s="76"/>
    </row>
    <row r="483">
      <c r="C483" s="76"/>
    </row>
    <row r="484">
      <c r="C484" s="76"/>
    </row>
    <row r="485">
      <c r="C485" s="76"/>
    </row>
    <row r="486">
      <c r="C486" s="76"/>
    </row>
    <row r="487">
      <c r="C487" s="76"/>
    </row>
    <row r="488">
      <c r="C488" s="76"/>
    </row>
    <row r="489">
      <c r="C489" s="76"/>
    </row>
    <row r="490">
      <c r="C490" s="76"/>
    </row>
    <row r="491">
      <c r="C491" s="76"/>
    </row>
    <row r="492">
      <c r="C492" s="76"/>
    </row>
    <row r="493">
      <c r="C493" s="76"/>
    </row>
    <row r="494">
      <c r="C494" s="76"/>
    </row>
    <row r="495">
      <c r="C495" s="76"/>
    </row>
    <row r="496">
      <c r="C496" s="76"/>
    </row>
    <row r="497">
      <c r="C497" s="76"/>
    </row>
    <row r="498">
      <c r="C498" s="76"/>
    </row>
    <row r="499">
      <c r="C499" s="76"/>
    </row>
    <row r="500">
      <c r="C500" s="76"/>
    </row>
    <row r="501">
      <c r="C501" s="76"/>
    </row>
    <row r="502">
      <c r="C502" s="76"/>
    </row>
    <row r="503">
      <c r="C503" s="76"/>
    </row>
    <row r="504">
      <c r="C504" s="76"/>
    </row>
    <row r="505">
      <c r="C505" s="76"/>
    </row>
    <row r="506">
      <c r="C506" s="76"/>
    </row>
    <row r="507">
      <c r="C507" s="76"/>
    </row>
    <row r="508">
      <c r="C508" s="76"/>
    </row>
    <row r="509">
      <c r="C509" s="76"/>
    </row>
    <row r="510">
      <c r="C510" s="76"/>
    </row>
    <row r="511">
      <c r="C511" s="76"/>
    </row>
    <row r="512">
      <c r="C512" s="76"/>
    </row>
    <row r="513">
      <c r="C513" s="76"/>
    </row>
    <row r="514">
      <c r="C514" s="76"/>
    </row>
    <row r="515">
      <c r="C515" s="76"/>
    </row>
    <row r="516">
      <c r="C516" s="76"/>
    </row>
    <row r="517">
      <c r="C517" s="76"/>
    </row>
    <row r="518">
      <c r="C518" s="76"/>
    </row>
    <row r="519">
      <c r="C519" s="76"/>
    </row>
    <row r="520">
      <c r="C520" s="76"/>
    </row>
    <row r="521">
      <c r="C521" s="76"/>
    </row>
    <row r="522">
      <c r="C522" s="76"/>
    </row>
    <row r="523">
      <c r="C523" s="76"/>
    </row>
    <row r="524">
      <c r="C524" s="76"/>
    </row>
    <row r="525">
      <c r="C525" s="76"/>
    </row>
    <row r="526">
      <c r="C526" s="76"/>
    </row>
    <row r="527">
      <c r="C527" s="76"/>
    </row>
    <row r="528">
      <c r="C528" s="76"/>
    </row>
    <row r="529">
      <c r="C529" s="76"/>
    </row>
    <row r="530">
      <c r="C530" s="76"/>
    </row>
    <row r="531">
      <c r="C531" s="76"/>
    </row>
    <row r="532">
      <c r="C532" s="76"/>
    </row>
    <row r="533">
      <c r="C533" s="76"/>
    </row>
    <row r="534">
      <c r="C534" s="76"/>
    </row>
    <row r="535">
      <c r="C535" s="76"/>
    </row>
    <row r="536">
      <c r="C536" s="76"/>
    </row>
    <row r="537">
      <c r="C537" s="76"/>
    </row>
    <row r="538">
      <c r="C538" s="76"/>
    </row>
    <row r="539">
      <c r="C539" s="76"/>
    </row>
    <row r="540">
      <c r="C540" s="76"/>
    </row>
    <row r="541">
      <c r="C541" s="76"/>
    </row>
    <row r="542">
      <c r="C542" s="76"/>
    </row>
    <row r="543">
      <c r="C543" s="76"/>
    </row>
    <row r="544">
      <c r="C544" s="76"/>
    </row>
    <row r="545">
      <c r="C545" s="76"/>
    </row>
    <row r="546">
      <c r="C546" s="76"/>
    </row>
    <row r="547">
      <c r="C547" s="76"/>
    </row>
    <row r="548">
      <c r="C548" s="76"/>
    </row>
    <row r="549">
      <c r="C549" s="76"/>
    </row>
    <row r="550">
      <c r="C550" s="76"/>
    </row>
    <row r="551">
      <c r="C551" s="76"/>
    </row>
    <row r="552">
      <c r="C552" s="76"/>
    </row>
    <row r="553">
      <c r="C553" s="76"/>
    </row>
    <row r="554">
      <c r="C554" s="76"/>
    </row>
    <row r="555">
      <c r="C555" s="76"/>
    </row>
    <row r="556">
      <c r="C556" s="76"/>
    </row>
    <row r="557">
      <c r="C557" s="76"/>
    </row>
    <row r="558">
      <c r="C558" s="76"/>
    </row>
    <row r="559">
      <c r="C559" s="76"/>
    </row>
    <row r="560">
      <c r="C560" s="76"/>
    </row>
    <row r="561">
      <c r="C561" s="76"/>
    </row>
    <row r="562">
      <c r="C562" s="76"/>
    </row>
    <row r="563">
      <c r="C563" s="76"/>
    </row>
    <row r="564">
      <c r="C564" s="76"/>
    </row>
    <row r="565">
      <c r="C565" s="76"/>
    </row>
    <row r="566">
      <c r="C566" s="76"/>
    </row>
    <row r="567">
      <c r="C567" s="76"/>
    </row>
    <row r="568">
      <c r="C568" s="76"/>
    </row>
    <row r="569">
      <c r="C569" s="76"/>
    </row>
    <row r="570">
      <c r="C570" s="76"/>
    </row>
    <row r="571">
      <c r="C571" s="76"/>
    </row>
    <row r="572">
      <c r="C572" s="76"/>
    </row>
    <row r="573">
      <c r="C573" s="76"/>
    </row>
    <row r="574">
      <c r="C574" s="76"/>
    </row>
    <row r="575">
      <c r="C575" s="76"/>
    </row>
    <row r="576">
      <c r="C576" s="76"/>
    </row>
    <row r="577">
      <c r="C577" s="76"/>
    </row>
    <row r="578">
      <c r="C578" s="76"/>
    </row>
    <row r="579">
      <c r="C579" s="76"/>
    </row>
    <row r="580">
      <c r="C580" s="76"/>
    </row>
    <row r="581">
      <c r="C581" s="76"/>
    </row>
    <row r="582">
      <c r="C582" s="76"/>
    </row>
    <row r="583">
      <c r="C583" s="76"/>
    </row>
    <row r="584">
      <c r="C584" s="76"/>
    </row>
    <row r="585">
      <c r="C585" s="76"/>
    </row>
    <row r="586">
      <c r="C586" s="76"/>
    </row>
    <row r="587">
      <c r="C587" s="76"/>
    </row>
    <row r="588">
      <c r="C588" s="76"/>
    </row>
    <row r="589">
      <c r="C589" s="76"/>
    </row>
    <row r="590">
      <c r="C590" s="76"/>
    </row>
    <row r="591">
      <c r="C591" s="76"/>
    </row>
    <row r="592">
      <c r="C592" s="76"/>
    </row>
    <row r="593">
      <c r="C593" s="76"/>
    </row>
    <row r="594">
      <c r="C594" s="76"/>
    </row>
    <row r="595">
      <c r="C595" s="76"/>
    </row>
    <row r="596">
      <c r="C596" s="76"/>
    </row>
    <row r="597">
      <c r="C597" s="76"/>
    </row>
    <row r="598">
      <c r="C598" s="76"/>
    </row>
    <row r="599">
      <c r="C599" s="76"/>
    </row>
    <row r="600">
      <c r="C600" s="76"/>
    </row>
    <row r="601">
      <c r="C601" s="76"/>
    </row>
    <row r="602">
      <c r="C602" s="76"/>
    </row>
    <row r="603">
      <c r="C603" s="76"/>
    </row>
    <row r="604">
      <c r="C604" s="76"/>
    </row>
    <row r="605">
      <c r="C605" s="76"/>
    </row>
    <row r="606">
      <c r="C606" s="76"/>
    </row>
    <row r="607">
      <c r="C607" s="76"/>
    </row>
    <row r="608">
      <c r="C608" s="76"/>
    </row>
    <row r="609">
      <c r="C609" s="76"/>
    </row>
    <row r="610">
      <c r="C610" s="76"/>
    </row>
    <row r="611">
      <c r="C611" s="76"/>
    </row>
    <row r="612">
      <c r="C612" s="76"/>
    </row>
    <row r="613">
      <c r="C613" s="76"/>
    </row>
    <row r="614">
      <c r="C614" s="76"/>
    </row>
    <row r="615">
      <c r="C615" s="76"/>
    </row>
    <row r="616">
      <c r="C616" s="76"/>
    </row>
    <row r="617">
      <c r="C617" s="76"/>
    </row>
    <row r="618">
      <c r="C618" s="76"/>
    </row>
    <row r="619">
      <c r="C619" s="76"/>
    </row>
    <row r="620">
      <c r="C620" s="76"/>
    </row>
    <row r="621">
      <c r="C621" s="76"/>
    </row>
    <row r="622">
      <c r="C622" s="76"/>
    </row>
    <row r="623">
      <c r="C623" s="76"/>
    </row>
    <row r="624">
      <c r="C624" s="76"/>
    </row>
    <row r="625">
      <c r="C625" s="76"/>
    </row>
    <row r="626">
      <c r="C626" s="76"/>
    </row>
    <row r="627">
      <c r="C627" s="76"/>
    </row>
    <row r="628">
      <c r="C628" s="76"/>
    </row>
    <row r="629">
      <c r="C629" s="76"/>
    </row>
    <row r="630">
      <c r="C630" s="76"/>
    </row>
    <row r="631">
      <c r="C631" s="76"/>
    </row>
    <row r="632">
      <c r="C632" s="76"/>
    </row>
    <row r="633">
      <c r="C633" s="76"/>
    </row>
    <row r="634">
      <c r="C634" s="76"/>
    </row>
    <row r="635">
      <c r="C635" s="76"/>
    </row>
    <row r="636">
      <c r="C636" s="76"/>
    </row>
    <row r="637">
      <c r="C637" s="76"/>
    </row>
    <row r="638">
      <c r="C638" s="76"/>
    </row>
    <row r="639">
      <c r="C639" s="76"/>
    </row>
    <row r="640">
      <c r="C640" s="76"/>
    </row>
    <row r="641">
      <c r="C641" s="76"/>
    </row>
    <row r="642">
      <c r="C642" s="76"/>
    </row>
    <row r="643">
      <c r="C643" s="76"/>
    </row>
    <row r="644">
      <c r="C644" s="76"/>
    </row>
    <row r="645">
      <c r="C645" s="76"/>
    </row>
    <row r="646">
      <c r="C646" s="76"/>
    </row>
    <row r="647">
      <c r="C647" s="76"/>
    </row>
    <row r="648">
      <c r="C648" s="76"/>
    </row>
    <row r="649">
      <c r="C649" s="76"/>
    </row>
    <row r="650">
      <c r="C650" s="76"/>
    </row>
    <row r="651">
      <c r="C651" s="76"/>
    </row>
    <row r="652">
      <c r="C652" s="76"/>
    </row>
    <row r="653">
      <c r="C653" s="76"/>
    </row>
    <row r="654">
      <c r="C654" s="76"/>
    </row>
    <row r="655">
      <c r="C655" s="76"/>
    </row>
    <row r="656">
      <c r="C656" s="76"/>
    </row>
    <row r="657">
      <c r="C657" s="76"/>
    </row>
    <row r="658">
      <c r="C658" s="76"/>
    </row>
    <row r="659">
      <c r="C659" s="76"/>
    </row>
    <row r="660">
      <c r="C660" s="76"/>
    </row>
    <row r="661">
      <c r="C661" s="76"/>
    </row>
    <row r="662">
      <c r="C662" s="76"/>
    </row>
    <row r="663">
      <c r="C663" s="76"/>
    </row>
    <row r="664">
      <c r="C664" s="76"/>
    </row>
    <row r="665">
      <c r="C665" s="76"/>
    </row>
    <row r="666">
      <c r="C666" s="76"/>
    </row>
    <row r="667">
      <c r="C667" s="76"/>
    </row>
    <row r="668">
      <c r="C668" s="76"/>
    </row>
    <row r="669">
      <c r="C669" s="76"/>
    </row>
    <row r="670">
      <c r="C670" s="76"/>
    </row>
    <row r="671">
      <c r="C671" s="76"/>
    </row>
    <row r="672">
      <c r="C672" s="76"/>
    </row>
    <row r="673">
      <c r="C673" s="76"/>
    </row>
    <row r="674">
      <c r="C674" s="76"/>
    </row>
    <row r="675">
      <c r="C675" s="76"/>
    </row>
    <row r="676">
      <c r="C676" s="76"/>
    </row>
    <row r="677">
      <c r="C677" s="76"/>
    </row>
    <row r="678">
      <c r="C678" s="76"/>
    </row>
    <row r="679">
      <c r="C679" s="76"/>
    </row>
    <row r="680">
      <c r="C680" s="76"/>
    </row>
    <row r="681">
      <c r="C681" s="76"/>
    </row>
    <row r="682">
      <c r="C682" s="76"/>
    </row>
    <row r="683">
      <c r="C683" s="76"/>
    </row>
    <row r="684">
      <c r="C684" s="76"/>
    </row>
    <row r="685">
      <c r="C685" s="76"/>
    </row>
    <row r="686">
      <c r="C686" s="76"/>
    </row>
    <row r="687">
      <c r="C687" s="76"/>
    </row>
    <row r="688">
      <c r="C688" s="76"/>
    </row>
    <row r="689">
      <c r="C689" s="76"/>
    </row>
    <row r="690">
      <c r="C690" s="76"/>
    </row>
    <row r="691">
      <c r="C691" s="76"/>
    </row>
    <row r="692">
      <c r="C692" s="76"/>
    </row>
    <row r="693">
      <c r="C693" s="76"/>
    </row>
    <row r="694">
      <c r="C694" s="76"/>
    </row>
    <row r="695">
      <c r="C695" s="76"/>
    </row>
    <row r="696">
      <c r="C696" s="76"/>
    </row>
    <row r="697">
      <c r="C697" s="76"/>
    </row>
    <row r="698">
      <c r="C698" s="76"/>
    </row>
    <row r="699">
      <c r="C699" s="76"/>
    </row>
    <row r="700">
      <c r="C700" s="76"/>
    </row>
    <row r="701">
      <c r="C701" s="76"/>
    </row>
    <row r="702">
      <c r="C702" s="76"/>
    </row>
    <row r="703">
      <c r="C703" s="76"/>
    </row>
    <row r="704">
      <c r="C704" s="76"/>
    </row>
    <row r="705">
      <c r="C705" s="76"/>
    </row>
    <row r="706">
      <c r="C706" s="76"/>
    </row>
    <row r="707">
      <c r="C707" s="76"/>
    </row>
    <row r="708">
      <c r="C708" s="76"/>
    </row>
    <row r="709">
      <c r="C709" s="76"/>
    </row>
    <row r="710">
      <c r="C710" s="76"/>
    </row>
    <row r="711">
      <c r="C711" s="76"/>
    </row>
    <row r="712">
      <c r="C712" s="76"/>
    </row>
    <row r="713">
      <c r="C713" s="76"/>
    </row>
    <row r="714">
      <c r="C714" s="76"/>
    </row>
    <row r="715">
      <c r="C715" s="76"/>
    </row>
    <row r="716">
      <c r="C716" s="76"/>
    </row>
    <row r="717">
      <c r="C717" s="76"/>
    </row>
    <row r="718">
      <c r="C718" s="76"/>
    </row>
    <row r="719">
      <c r="C719" s="76"/>
    </row>
    <row r="720">
      <c r="C720" s="76"/>
    </row>
    <row r="721">
      <c r="C721" s="76"/>
    </row>
    <row r="722">
      <c r="C722" s="76"/>
    </row>
    <row r="723">
      <c r="C723" s="76"/>
    </row>
    <row r="724">
      <c r="C724" s="76"/>
    </row>
    <row r="725">
      <c r="C725" s="76"/>
    </row>
    <row r="726">
      <c r="C726" s="76"/>
    </row>
    <row r="727">
      <c r="C727" s="76"/>
    </row>
    <row r="728">
      <c r="C728" s="76"/>
    </row>
    <row r="729">
      <c r="C729" s="76"/>
    </row>
    <row r="730">
      <c r="C730" s="76"/>
    </row>
    <row r="731">
      <c r="C731" s="76"/>
    </row>
    <row r="732">
      <c r="C732" s="76"/>
    </row>
    <row r="733">
      <c r="C733" s="76"/>
    </row>
    <row r="734">
      <c r="C734" s="76"/>
    </row>
    <row r="735">
      <c r="C735" s="76"/>
    </row>
    <row r="736">
      <c r="C736" s="76"/>
    </row>
    <row r="737">
      <c r="C737" s="76"/>
    </row>
    <row r="738">
      <c r="C738" s="76"/>
    </row>
    <row r="739">
      <c r="C739" s="76"/>
    </row>
    <row r="740">
      <c r="C740" s="76"/>
    </row>
    <row r="741">
      <c r="C741" s="76"/>
    </row>
    <row r="742">
      <c r="C742" s="76"/>
    </row>
    <row r="743">
      <c r="C743" s="76"/>
    </row>
    <row r="744">
      <c r="C744" s="76"/>
    </row>
    <row r="745">
      <c r="C745" s="76"/>
    </row>
    <row r="746">
      <c r="C746" s="76"/>
    </row>
    <row r="747">
      <c r="C747" s="76"/>
    </row>
    <row r="748">
      <c r="C748" s="76"/>
    </row>
    <row r="749">
      <c r="C749" s="76"/>
    </row>
    <row r="750">
      <c r="C750" s="76"/>
    </row>
    <row r="751">
      <c r="C751" s="76"/>
    </row>
    <row r="752">
      <c r="C752" s="76"/>
    </row>
    <row r="753">
      <c r="C753" s="76"/>
    </row>
    <row r="754">
      <c r="C754" s="76"/>
    </row>
    <row r="755">
      <c r="C755" s="76"/>
    </row>
    <row r="756">
      <c r="C756" s="76"/>
    </row>
    <row r="757">
      <c r="C757" s="76"/>
    </row>
    <row r="758">
      <c r="C758" s="76"/>
    </row>
    <row r="759">
      <c r="C759" s="76"/>
    </row>
    <row r="760">
      <c r="C760" s="76"/>
    </row>
    <row r="761">
      <c r="C761" s="76"/>
    </row>
    <row r="762">
      <c r="C762" s="76"/>
    </row>
    <row r="763">
      <c r="C763" s="76"/>
    </row>
    <row r="764">
      <c r="C764" s="76"/>
    </row>
    <row r="765">
      <c r="C765" s="76"/>
    </row>
    <row r="766">
      <c r="C766" s="76"/>
    </row>
    <row r="767">
      <c r="C767" s="76"/>
    </row>
    <row r="768">
      <c r="C768" s="76"/>
    </row>
    <row r="769">
      <c r="C769" s="76"/>
    </row>
    <row r="770">
      <c r="C770" s="76"/>
    </row>
    <row r="771">
      <c r="C771" s="76"/>
    </row>
    <row r="772">
      <c r="C772" s="76"/>
    </row>
    <row r="773">
      <c r="C773" s="76"/>
    </row>
    <row r="774">
      <c r="C774" s="76"/>
    </row>
    <row r="775">
      <c r="C775" s="76"/>
    </row>
    <row r="776">
      <c r="C776" s="76"/>
    </row>
    <row r="777">
      <c r="C777" s="76"/>
    </row>
    <row r="778">
      <c r="C778" s="76"/>
    </row>
    <row r="779">
      <c r="C779" s="76"/>
    </row>
    <row r="780">
      <c r="C780" s="76"/>
    </row>
    <row r="781">
      <c r="C781" s="76"/>
    </row>
    <row r="782">
      <c r="C782" s="76"/>
    </row>
    <row r="783">
      <c r="C783" s="76"/>
    </row>
    <row r="784">
      <c r="C784" s="76"/>
    </row>
    <row r="785">
      <c r="C785" s="76"/>
    </row>
    <row r="786">
      <c r="C786" s="76"/>
    </row>
    <row r="787">
      <c r="C787" s="76"/>
    </row>
    <row r="788">
      <c r="C788" s="76"/>
    </row>
    <row r="789">
      <c r="C789" s="76"/>
    </row>
    <row r="790">
      <c r="C790" s="76"/>
    </row>
    <row r="791">
      <c r="C791" s="76"/>
    </row>
    <row r="792">
      <c r="C792" s="76"/>
    </row>
    <row r="793">
      <c r="C793" s="76"/>
    </row>
    <row r="794">
      <c r="C794" s="76"/>
    </row>
    <row r="795">
      <c r="C795" s="76"/>
    </row>
    <row r="796">
      <c r="C796" s="76"/>
    </row>
    <row r="797">
      <c r="C797" s="76"/>
    </row>
    <row r="798">
      <c r="C798" s="76"/>
    </row>
    <row r="799">
      <c r="C799" s="76"/>
    </row>
    <row r="800">
      <c r="C800" s="76"/>
    </row>
    <row r="801">
      <c r="C801" s="76"/>
    </row>
    <row r="802">
      <c r="C802" s="76"/>
    </row>
    <row r="803">
      <c r="C803" s="76"/>
    </row>
    <row r="804">
      <c r="C804" s="76"/>
    </row>
    <row r="805">
      <c r="C805" s="76"/>
    </row>
    <row r="806">
      <c r="C806" s="76"/>
    </row>
    <row r="807">
      <c r="C807" s="76"/>
    </row>
    <row r="808">
      <c r="C808" s="76"/>
    </row>
    <row r="809">
      <c r="C809" s="76"/>
    </row>
    <row r="810">
      <c r="C810" s="76"/>
    </row>
    <row r="811">
      <c r="C811" s="76"/>
    </row>
    <row r="812">
      <c r="C812" s="76"/>
    </row>
    <row r="813">
      <c r="C813" s="76"/>
    </row>
    <row r="814">
      <c r="C814" s="76"/>
    </row>
    <row r="815">
      <c r="C815" s="76"/>
    </row>
    <row r="816">
      <c r="C816" s="76"/>
    </row>
    <row r="817">
      <c r="C817" s="76"/>
    </row>
    <row r="818">
      <c r="C818" s="76"/>
    </row>
    <row r="819">
      <c r="C819" s="76"/>
    </row>
    <row r="820">
      <c r="C820" s="76"/>
    </row>
    <row r="821">
      <c r="C821" s="76"/>
    </row>
    <row r="822">
      <c r="C822" s="76"/>
    </row>
    <row r="823">
      <c r="C823" s="76"/>
    </row>
    <row r="824">
      <c r="C824" s="76"/>
    </row>
    <row r="825">
      <c r="C825" s="76"/>
    </row>
    <row r="826">
      <c r="C826" s="76"/>
    </row>
    <row r="827">
      <c r="C827" s="76"/>
    </row>
    <row r="828">
      <c r="C828" s="76"/>
    </row>
    <row r="829">
      <c r="C829" s="76"/>
    </row>
    <row r="830">
      <c r="C830" s="76"/>
    </row>
    <row r="831">
      <c r="C831" s="76"/>
    </row>
    <row r="832">
      <c r="C832" s="76"/>
    </row>
    <row r="833">
      <c r="C833" s="76"/>
    </row>
    <row r="834">
      <c r="C834" s="76"/>
    </row>
    <row r="835">
      <c r="C835" s="76"/>
    </row>
    <row r="836">
      <c r="C836" s="76"/>
    </row>
    <row r="837">
      <c r="C837" s="76"/>
    </row>
    <row r="838">
      <c r="C838" s="76"/>
    </row>
    <row r="839">
      <c r="C839" s="76"/>
    </row>
    <row r="840">
      <c r="C840" s="76"/>
    </row>
    <row r="841">
      <c r="C841" s="76"/>
    </row>
    <row r="842">
      <c r="C842" s="76"/>
    </row>
    <row r="843">
      <c r="C843" s="76"/>
    </row>
    <row r="844">
      <c r="C844" s="76"/>
    </row>
    <row r="845">
      <c r="C845" s="76"/>
    </row>
    <row r="846">
      <c r="C846" s="76"/>
    </row>
    <row r="847">
      <c r="C847" s="76"/>
    </row>
    <row r="848">
      <c r="C848" s="76"/>
    </row>
    <row r="849">
      <c r="C849" s="76"/>
    </row>
    <row r="850">
      <c r="C850" s="76"/>
    </row>
    <row r="851">
      <c r="C851" s="76"/>
    </row>
    <row r="852">
      <c r="C852" s="76"/>
    </row>
    <row r="853">
      <c r="C853" s="76"/>
    </row>
    <row r="854">
      <c r="C854" s="76"/>
    </row>
    <row r="855">
      <c r="C855" s="76"/>
    </row>
    <row r="856">
      <c r="C856" s="76"/>
    </row>
    <row r="857">
      <c r="C857" s="76"/>
    </row>
    <row r="858">
      <c r="C858" s="76"/>
    </row>
    <row r="859">
      <c r="C859" s="76"/>
    </row>
    <row r="860">
      <c r="C860" s="76"/>
    </row>
    <row r="861">
      <c r="C861" s="76"/>
    </row>
    <row r="862">
      <c r="C862" s="76"/>
    </row>
    <row r="863">
      <c r="C863" s="76"/>
    </row>
    <row r="864">
      <c r="C864" s="76"/>
    </row>
    <row r="865">
      <c r="C865" s="76"/>
    </row>
    <row r="866">
      <c r="C866" s="76"/>
    </row>
    <row r="867">
      <c r="C867" s="76"/>
    </row>
    <row r="868">
      <c r="C868" s="76"/>
    </row>
    <row r="869">
      <c r="C869" s="76"/>
    </row>
    <row r="870">
      <c r="C870" s="76"/>
    </row>
    <row r="871">
      <c r="C871" s="76"/>
    </row>
    <row r="872">
      <c r="C872" s="76"/>
    </row>
    <row r="873">
      <c r="C873" s="76"/>
    </row>
    <row r="874">
      <c r="C874" s="76"/>
    </row>
    <row r="875">
      <c r="C875" s="76"/>
    </row>
    <row r="876">
      <c r="C876" s="76"/>
    </row>
    <row r="877">
      <c r="C877" s="76"/>
    </row>
    <row r="878">
      <c r="C878" s="76"/>
    </row>
    <row r="879">
      <c r="C879" s="76"/>
    </row>
    <row r="880">
      <c r="C880" s="76"/>
    </row>
    <row r="881">
      <c r="C881" s="76"/>
    </row>
    <row r="882">
      <c r="C882" s="76"/>
    </row>
    <row r="883">
      <c r="C883" s="76"/>
    </row>
    <row r="884">
      <c r="C884" s="76"/>
    </row>
    <row r="885">
      <c r="C885" s="76"/>
    </row>
    <row r="886">
      <c r="C886" s="76"/>
    </row>
    <row r="887">
      <c r="C887" s="76"/>
    </row>
    <row r="888">
      <c r="C888" s="76"/>
    </row>
    <row r="889">
      <c r="C889" s="76"/>
    </row>
    <row r="890">
      <c r="C890" s="76"/>
    </row>
    <row r="891">
      <c r="C891" s="76"/>
    </row>
    <row r="892">
      <c r="C892" s="76"/>
    </row>
    <row r="893">
      <c r="C893" s="76"/>
    </row>
    <row r="894">
      <c r="C894" s="76"/>
    </row>
    <row r="895">
      <c r="C895" s="76"/>
    </row>
    <row r="896">
      <c r="C896" s="76"/>
    </row>
    <row r="897">
      <c r="C897" s="76"/>
    </row>
    <row r="898">
      <c r="C898" s="76"/>
    </row>
    <row r="899">
      <c r="C899" s="76"/>
    </row>
    <row r="900">
      <c r="C900" s="76"/>
    </row>
    <row r="901">
      <c r="C901" s="76"/>
    </row>
    <row r="902">
      <c r="C902" s="76"/>
    </row>
    <row r="903">
      <c r="C903" s="76"/>
    </row>
    <row r="904">
      <c r="C904" s="76"/>
    </row>
    <row r="905">
      <c r="C905" s="76"/>
    </row>
    <row r="906">
      <c r="C906" s="76"/>
    </row>
    <row r="907">
      <c r="C907" s="76"/>
    </row>
    <row r="908">
      <c r="C908" s="76"/>
    </row>
    <row r="909">
      <c r="C909" s="76"/>
    </row>
    <row r="910">
      <c r="C910" s="76"/>
    </row>
    <row r="911">
      <c r="C911" s="76"/>
    </row>
    <row r="912">
      <c r="C912" s="76"/>
    </row>
    <row r="913">
      <c r="C913" s="76"/>
    </row>
    <row r="914">
      <c r="C914" s="76"/>
    </row>
    <row r="915">
      <c r="C915" s="76"/>
    </row>
    <row r="916">
      <c r="C916" s="76"/>
    </row>
    <row r="917">
      <c r="C917" s="76"/>
    </row>
    <row r="918">
      <c r="C918" s="76"/>
    </row>
    <row r="919">
      <c r="C919" s="76"/>
    </row>
    <row r="920">
      <c r="C920" s="76"/>
    </row>
    <row r="921">
      <c r="C921" s="76"/>
    </row>
    <row r="922">
      <c r="C922" s="76"/>
    </row>
    <row r="923">
      <c r="C923" s="76"/>
    </row>
    <row r="924">
      <c r="C924" s="76"/>
    </row>
    <row r="925">
      <c r="C925" s="76"/>
    </row>
    <row r="926">
      <c r="C926" s="76"/>
    </row>
    <row r="927">
      <c r="C927" s="76"/>
    </row>
    <row r="928">
      <c r="C928" s="76"/>
    </row>
    <row r="929">
      <c r="C929" s="76"/>
    </row>
    <row r="930">
      <c r="C930" s="76"/>
    </row>
    <row r="931">
      <c r="C931" s="76"/>
    </row>
    <row r="932">
      <c r="C932" s="76"/>
    </row>
    <row r="933">
      <c r="C933" s="76"/>
    </row>
    <row r="934">
      <c r="C934" s="76"/>
    </row>
    <row r="935">
      <c r="C935" s="76"/>
    </row>
    <row r="936">
      <c r="C936" s="76"/>
    </row>
    <row r="937">
      <c r="C937" s="76"/>
    </row>
    <row r="938">
      <c r="C938" s="76"/>
    </row>
    <row r="939">
      <c r="C939" s="76"/>
    </row>
    <row r="940">
      <c r="C940" s="76"/>
    </row>
    <row r="941">
      <c r="C941" s="76"/>
    </row>
    <row r="942">
      <c r="C942" s="76"/>
    </row>
    <row r="943">
      <c r="C943" s="76"/>
    </row>
    <row r="944">
      <c r="C944" s="76"/>
    </row>
    <row r="945">
      <c r="C945" s="76"/>
    </row>
    <row r="946">
      <c r="C946" s="76"/>
    </row>
    <row r="947">
      <c r="C947" s="76"/>
    </row>
    <row r="948">
      <c r="C948" s="76"/>
    </row>
    <row r="949">
      <c r="C949" s="76"/>
    </row>
    <row r="950">
      <c r="C950" s="76"/>
    </row>
    <row r="951">
      <c r="C951" s="76"/>
    </row>
    <row r="952">
      <c r="C952" s="76"/>
    </row>
    <row r="953">
      <c r="C953" s="76"/>
    </row>
    <row r="954">
      <c r="C954" s="76"/>
    </row>
    <row r="955">
      <c r="C955" s="76"/>
    </row>
    <row r="956">
      <c r="C956" s="76"/>
    </row>
    <row r="957">
      <c r="C957" s="76"/>
    </row>
    <row r="958">
      <c r="C958" s="76"/>
    </row>
    <row r="959">
      <c r="C959" s="76"/>
    </row>
    <row r="960">
      <c r="C960" s="76"/>
    </row>
    <row r="961">
      <c r="C961" s="76"/>
    </row>
    <row r="962">
      <c r="C962" s="76"/>
    </row>
    <row r="963">
      <c r="C963" s="76"/>
    </row>
    <row r="964">
      <c r="C964" s="76"/>
    </row>
    <row r="965">
      <c r="C965" s="76"/>
    </row>
    <row r="966">
      <c r="C966" s="76"/>
    </row>
    <row r="967">
      <c r="C967" s="76"/>
    </row>
    <row r="968">
      <c r="C968" s="76"/>
    </row>
    <row r="969">
      <c r="C969" s="76"/>
    </row>
    <row r="970">
      <c r="C970" s="76"/>
    </row>
    <row r="971">
      <c r="C971" s="76"/>
    </row>
    <row r="972">
      <c r="C972" s="76"/>
    </row>
    <row r="973">
      <c r="C973" s="76"/>
    </row>
    <row r="974">
      <c r="C974" s="76"/>
    </row>
    <row r="975">
      <c r="C975" s="76"/>
    </row>
    <row r="976">
      <c r="C976" s="76"/>
    </row>
    <row r="977">
      <c r="C977" s="76"/>
    </row>
    <row r="978">
      <c r="C978" s="76"/>
    </row>
    <row r="979">
      <c r="C979" s="76"/>
    </row>
    <row r="980">
      <c r="C980" s="76"/>
    </row>
    <row r="981">
      <c r="C981" s="76"/>
    </row>
    <row r="982">
      <c r="C982" s="76"/>
    </row>
    <row r="983">
      <c r="C983" s="76"/>
    </row>
    <row r="984">
      <c r="C984" s="76"/>
    </row>
    <row r="985">
      <c r="C985" s="76"/>
    </row>
    <row r="986">
      <c r="C986" s="76"/>
    </row>
    <row r="987">
      <c r="C987" s="76"/>
    </row>
    <row r="988">
      <c r="C988" s="76"/>
    </row>
    <row r="989">
      <c r="C989" s="76"/>
    </row>
    <row r="990">
      <c r="C990" s="76"/>
    </row>
    <row r="991">
      <c r="C991" s="76"/>
    </row>
    <row r="992">
      <c r="C992" s="76"/>
    </row>
    <row r="993">
      <c r="C993" s="76"/>
    </row>
    <row r="994">
      <c r="C994" s="76"/>
    </row>
    <row r="995">
      <c r="C995" s="76"/>
    </row>
    <row r="996">
      <c r="C996" s="76"/>
    </row>
    <row r="997">
      <c r="C997" s="76"/>
    </row>
    <row r="998">
      <c r="C998" s="76"/>
    </row>
    <row r="999">
      <c r="C999" s="76"/>
    </row>
    <row r="1000">
      <c r="C1000" s="76"/>
    </row>
    <row r="1001">
      <c r="C1001" s="76"/>
    </row>
    <row r="1002">
      <c r="C1002" s="76"/>
    </row>
    <row r="1003">
      <c r="C1003" s="76"/>
    </row>
    <row r="1004">
      <c r="C1004" s="76"/>
    </row>
    <row r="1005">
      <c r="C1005" s="76"/>
    </row>
    <row r="1006">
      <c r="C1006" s="76"/>
    </row>
    <row r="1007">
      <c r="C1007" s="76"/>
    </row>
    <row r="1008">
      <c r="C1008" s="76"/>
    </row>
    <row r="1009">
      <c r="C1009" s="76"/>
    </row>
    <row r="1010">
      <c r="C1010" s="76"/>
    </row>
    <row r="1011">
      <c r="C1011" s="76"/>
    </row>
  </sheetData>
  <mergeCells count="8">
    <mergeCell ref="A4:C4"/>
    <mergeCell ref="A17:C17"/>
    <mergeCell ref="A21:C21"/>
    <mergeCell ref="A25:C25"/>
    <mergeCell ref="A30:C30"/>
    <mergeCell ref="A33:C33"/>
    <mergeCell ref="A35:C35"/>
    <mergeCell ref="A37:C37"/>
  </mergeCells>
  <hyperlinks>
    <hyperlink r:id="rId1" ref="C5"/>
    <hyperlink r:id="rId2" ref="C7"/>
    <hyperlink r:id="rId3" ref="C8"/>
    <hyperlink r:id="rId4" ref="C9"/>
    <hyperlink r:id="rId5" ref="C16"/>
    <hyperlink r:id="rId6" ref="C18"/>
    <hyperlink r:id="rId7" ref="C22"/>
    <hyperlink r:id="rId8" ref="C26"/>
    <hyperlink r:id="rId9" ref="C27"/>
    <hyperlink r:id="rId10" ref="C28"/>
    <hyperlink r:id="rId11" ref="C31"/>
    <hyperlink r:id="rId12" ref="C34"/>
    <hyperlink r:id="rId13" ref="C36"/>
    <hyperlink r:id="rId14" ref="C38"/>
    <hyperlink r:id="rId15" ref="C42"/>
    <hyperlink r:id="rId16" ref="C43"/>
    <hyperlink r:id="rId17" ref="C44"/>
    <hyperlink r:id="rId18" ref="C45"/>
    <hyperlink r:id="rId19" ref="C46"/>
    <hyperlink r:id="rId20" ref="A55"/>
    <hyperlink r:id="rId21" ref="A56"/>
    <hyperlink r:id="rId22" ref="A57"/>
    <hyperlink r:id="rId23" ref="A58"/>
    <hyperlink r:id="rId24" ref="A59"/>
    <hyperlink r:id="rId25" ref="A60"/>
    <hyperlink r:id="rId26" ref="A61"/>
    <hyperlink r:id="rId27" ref="A62"/>
    <hyperlink r:id="rId28" ref="A63"/>
    <hyperlink r:id="rId29" ref="A64"/>
    <hyperlink r:id="rId30" ref="A65"/>
  </hyperlinks>
  <drawing r:id="rId3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64.14"/>
    <col customWidth="1" min="2" max="2" width="18.86"/>
    <col customWidth="1" min="3" max="3" width="20.57"/>
    <col customWidth="1" min="7" max="7" width="25.71"/>
  </cols>
  <sheetData>
    <row r="1">
      <c r="A1" s="17" t="s">
        <v>71</v>
      </c>
      <c r="B1" s="17" t="s">
        <v>23</v>
      </c>
      <c r="C1" s="17" t="s">
        <v>72</v>
      </c>
      <c r="D1" s="17" t="s">
        <v>73</v>
      </c>
      <c r="E1" s="17" t="s">
        <v>74</v>
      </c>
    </row>
    <row r="2">
      <c r="A2" s="18" t="s">
        <v>248</v>
      </c>
      <c r="B2" s="19"/>
      <c r="C2" s="19"/>
      <c r="D2" s="19"/>
      <c r="E2" s="20"/>
    </row>
    <row r="3">
      <c r="A3" s="21" t="s">
        <v>76</v>
      </c>
      <c r="B3" s="22">
        <v>2.0</v>
      </c>
      <c r="C3" s="22" t="s">
        <v>77</v>
      </c>
      <c r="D3" s="23">
        <v>400.0</v>
      </c>
      <c r="E3" s="24">
        <f t="shared" ref="E3:E10" si="1">B3*D3</f>
        <v>800</v>
      </c>
    </row>
    <row r="4">
      <c r="A4" s="21" t="s">
        <v>78</v>
      </c>
      <c r="B4" s="25">
        <f>SUM(B3)</f>
        <v>2</v>
      </c>
      <c r="C4" s="22" t="s">
        <v>77</v>
      </c>
      <c r="D4" s="23">
        <v>50.0</v>
      </c>
      <c r="E4" s="24">
        <f t="shared" si="1"/>
        <v>100</v>
      </c>
    </row>
    <row r="5">
      <c r="A5" s="21" t="s">
        <v>79</v>
      </c>
      <c r="B5" s="22">
        <v>25.0</v>
      </c>
      <c r="C5" s="22" t="s">
        <v>80</v>
      </c>
      <c r="D5" s="23">
        <v>10.0</v>
      </c>
      <c r="E5" s="24">
        <f t="shared" si="1"/>
        <v>250</v>
      </c>
    </row>
    <row r="6">
      <c r="A6" s="21" t="s">
        <v>81</v>
      </c>
      <c r="B6" s="22">
        <v>25.0</v>
      </c>
      <c r="C6" s="22" t="s">
        <v>80</v>
      </c>
      <c r="D6" s="23">
        <v>5.0</v>
      </c>
      <c r="E6" s="24">
        <f t="shared" si="1"/>
        <v>125</v>
      </c>
    </row>
    <row r="7">
      <c r="A7" s="21" t="s">
        <v>249</v>
      </c>
      <c r="B7" s="22">
        <v>2.0</v>
      </c>
      <c r="C7" s="22" t="s">
        <v>77</v>
      </c>
      <c r="D7" s="23">
        <v>100.0</v>
      </c>
      <c r="E7" s="24">
        <f t="shared" si="1"/>
        <v>200</v>
      </c>
    </row>
    <row r="8">
      <c r="A8" s="21" t="s">
        <v>250</v>
      </c>
      <c r="B8" s="22">
        <v>4.0</v>
      </c>
      <c r="C8" s="22" t="s">
        <v>77</v>
      </c>
      <c r="D8" s="23">
        <v>100.0</v>
      </c>
      <c r="E8" s="24">
        <f t="shared" si="1"/>
        <v>400</v>
      </c>
    </row>
    <row r="9">
      <c r="A9" s="21" t="s">
        <v>251</v>
      </c>
      <c r="B9" s="22">
        <v>24.0</v>
      </c>
      <c r="C9" s="22" t="s">
        <v>84</v>
      </c>
      <c r="D9" s="23">
        <v>200.0</v>
      </c>
      <c r="E9" s="24">
        <f t="shared" si="1"/>
        <v>4800</v>
      </c>
    </row>
    <row r="10">
      <c r="A10" s="21" t="s">
        <v>252</v>
      </c>
      <c r="B10" s="22">
        <v>1.0</v>
      </c>
      <c r="C10" s="22" t="s">
        <v>253</v>
      </c>
      <c r="D10" s="23">
        <v>500.0</v>
      </c>
      <c r="E10" s="24">
        <f t="shared" si="1"/>
        <v>500</v>
      </c>
      <c r="F10" s="26"/>
      <c r="G10" s="26"/>
    </row>
    <row r="11">
      <c r="E11" s="29">
        <f>SUM(E3:E10)</f>
        <v>7175</v>
      </c>
      <c r="F11" s="27"/>
      <c r="G11" s="27"/>
    </row>
    <row r="12">
      <c r="A12" s="5" t="s">
        <v>91</v>
      </c>
    </row>
    <row r="13">
      <c r="A13" s="21" t="s">
        <v>92</v>
      </c>
      <c r="B13" s="22">
        <v>1.0</v>
      </c>
      <c r="C13" s="22" t="s">
        <v>93</v>
      </c>
      <c r="D13" s="23">
        <v>2000.0</v>
      </c>
      <c r="E13" s="24">
        <f t="shared" ref="E13:E22" si="2">B13*D13</f>
        <v>2000</v>
      </c>
    </row>
    <row r="14">
      <c r="A14" s="21" t="s">
        <v>94</v>
      </c>
      <c r="B14" s="22">
        <v>100.0</v>
      </c>
      <c r="C14" s="22" t="s">
        <v>84</v>
      </c>
      <c r="D14" s="23">
        <v>100.0</v>
      </c>
      <c r="E14" s="24">
        <f t="shared" si="2"/>
        <v>10000</v>
      </c>
    </row>
    <row r="15">
      <c r="A15" s="21" t="s">
        <v>95</v>
      </c>
      <c r="B15" s="22">
        <v>100.0</v>
      </c>
      <c r="C15" s="22" t="s">
        <v>84</v>
      </c>
      <c r="D15" s="23">
        <v>100.0</v>
      </c>
      <c r="E15" s="24">
        <f t="shared" si="2"/>
        <v>10000</v>
      </c>
    </row>
    <row r="16">
      <c r="A16" s="21" t="s">
        <v>96</v>
      </c>
      <c r="B16" s="22">
        <v>100.0</v>
      </c>
      <c r="C16" s="22" t="s">
        <v>84</v>
      </c>
      <c r="D16" s="23">
        <v>100.0</v>
      </c>
      <c r="E16" s="24">
        <f t="shared" si="2"/>
        <v>10000</v>
      </c>
    </row>
    <row r="17">
      <c r="A17" s="21" t="s">
        <v>97</v>
      </c>
      <c r="B17" s="22">
        <v>50.0</v>
      </c>
      <c r="C17" s="22" t="s">
        <v>84</v>
      </c>
      <c r="D17" s="23">
        <v>100.0</v>
      </c>
      <c r="E17" s="24">
        <f t="shared" si="2"/>
        <v>5000</v>
      </c>
    </row>
    <row r="18">
      <c r="A18" s="21" t="s">
        <v>98</v>
      </c>
      <c r="B18" s="22">
        <v>1.0</v>
      </c>
      <c r="C18" s="22" t="s">
        <v>93</v>
      </c>
      <c r="D18" s="23">
        <v>1000.0</v>
      </c>
      <c r="E18" s="24">
        <f t="shared" si="2"/>
        <v>1000</v>
      </c>
    </row>
    <row r="19">
      <c r="A19" s="21" t="s">
        <v>99</v>
      </c>
      <c r="B19" s="22">
        <v>1.0</v>
      </c>
      <c r="C19" s="22" t="s">
        <v>100</v>
      </c>
      <c r="D19" s="23">
        <v>1000.0</v>
      </c>
      <c r="E19" s="24">
        <f t="shared" si="2"/>
        <v>1000</v>
      </c>
    </row>
    <row r="20">
      <c r="A20" s="21" t="s">
        <v>101</v>
      </c>
      <c r="B20" s="22">
        <v>1.0</v>
      </c>
      <c r="C20" s="22" t="s">
        <v>102</v>
      </c>
      <c r="D20" s="23">
        <v>6000.0</v>
      </c>
      <c r="E20" s="24">
        <f t="shared" si="2"/>
        <v>6000</v>
      </c>
    </row>
    <row r="21">
      <c r="A21" s="21" t="s">
        <v>103</v>
      </c>
      <c r="B21" s="22">
        <v>1.0</v>
      </c>
      <c r="C21" s="22" t="s">
        <v>102</v>
      </c>
      <c r="D21" s="23">
        <v>6000.0</v>
      </c>
      <c r="E21" s="24">
        <f t="shared" si="2"/>
        <v>6000</v>
      </c>
    </row>
    <row r="22">
      <c r="A22" s="21" t="s">
        <v>104</v>
      </c>
      <c r="B22" s="22">
        <v>1.0</v>
      </c>
      <c r="C22" s="22" t="s">
        <v>102</v>
      </c>
      <c r="D22" s="23">
        <v>3000.0</v>
      </c>
      <c r="E22" s="24">
        <f t="shared" si="2"/>
        <v>3000</v>
      </c>
    </row>
    <row r="23">
      <c r="D23" s="30" t="s">
        <v>105</v>
      </c>
      <c r="E23" s="29">
        <f>SUM(E13:E22)</f>
        <v>54000</v>
      </c>
    </row>
    <row r="24">
      <c r="D24" s="30" t="s">
        <v>106</v>
      </c>
      <c r="E24" s="13">
        <f>E23*12</f>
        <v>648000</v>
      </c>
    </row>
    <row r="25">
      <c r="A25" s="5"/>
    </row>
  </sheetData>
  <mergeCells count="1">
    <mergeCell ref="A2:E2"/>
  </mergeCells>
  <drawing r:id="rId1"/>
</worksheet>
</file>