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64187cd8522d98/02 Documents/Career/Ambient/01 Management/Business Plan/"/>
    </mc:Choice>
  </mc:AlternateContent>
  <xr:revisionPtr revIDLastSave="241" documentId="13_ncr:1_{5B9D032E-A676-D64D-A959-5A32FEBBC5C9}" xr6:coauthVersionLast="47" xr6:coauthVersionMax="47" xr10:uidLastSave="{D2803F41-04C6-9045-A0B2-F6D7073657AE}"/>
  <bookViews>
    <workbookView xWindow="0" yWindow="500" windowWidth="28800" windowHeight="16240" activeTab="6" xr2:uid="{18903710-204E-B345-85FE-4B96F6BFD177}"/>
  </bookViews>
  <sheets>
    <sheet name="Summary" sheetId="5" r:id="rId1"/>
    <sheet name="BAS Market" sheetId="2" r:id="rId2"/>
    <sheet name="BAS Market Graph" sheetId="3" r:id="rId3"/>
    <sheet name="AI in buildings" sheetId="4" r:id="rId4"/>
    <sheet name="Buildings per Market" sheetId="1" r:id="rId5"/>
    <sheet name="IoT and AI Platforms" sheetId="6" r:id="rId6"/>
    <sheet name="Farm Management Systems" sheetId="7" r:id="rId7"/>
  </sheets>
  <definedNames>
    <definedName name="_xlnm._FilterDatabase" localSheetId="1" hidden="1">'BAS Market'!$B$45:$H$53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" i="4" l="1"/>
  <c r="I36" i="4"/>
  <c r="I37" i="4"/>
  <c r="I38" i="4"/>
  <c r="I39" i="4"/>
  <c r="I40" i="4"/>
  <c r="I41" i="4"/>
  <c r="I34" i="4"/>
  <c r="I3" i="4"/>
  <c r="H34" i="4"/>
  <c r="H36" i="4"/>
  <c r="G37" i="4"/>
  <c r="H38" i="4"/>
  <c r="G39" i="4"/>
  <c r="H40" i="4"/>
  <c r="G41" i="4"/>
  <c r="D38" i="4"/>
  <c r="D40" i="4"/>
  <c r="D41" i="4"/>
  <c r="D34" i="4"/>
  <c r="D6" i="4"/>
  <c r="E6" i="4" s="1"/>
  <c r="F6" i="4" s="1"/>
  <c r="G6" i="4" s="1"/>
  <c r="H6" i="4" s="1"/>
  <c r="D7" i="4"/>
  <c r="E7" i="4" s="1"/>
  <c r="F7" i="4" s="1"/>
  <c r="G7" i="4" s="1"/>
  <c r="H7" i="4" s="1"/>
  <c r="H35" i="4" s="1"/>
  <c r="D8" i="4"/>
  <c r="E8" i="4" s="1"/>
  <c r="F8" i="4" s="1"/>
  <c r="G8" i="4" s="1"/>
  <c r="H8" i="4" s="1"/>
  <c r="D9" i="4"/>
  <c r="E9" i="4" s="1"/>
  <c r="F9" i="4" s="1"/>
  <c r="G9" i="4" s="1"/>
  <c r="H9" i="4" s="1"/>
  <c r="D10" i="4"/>
  <c r="E10" i="4" s="1"/>
  <c r="F10" i="4" s="1"/>
  <c r="G10" i="4" s="1"/>
  <c r="H10" i="4" s="1"/>
  <c r="D11" i="4"/>
  <c r="E11" i="4" s="1"/>
  <c r="F11" i="4" s="1"/>
  <c r="G11" i="4" s="1"/>
  <c r="H11" i="4" s="1"/>
  <c r="D12" i="4"/>
  <c r="E12" i="4" s="1"/>
  <c r="F12" i="4" s="1"/>
  <c r="G12" i="4" s="1"/>
  <c r="H12" i="4" s="1"/>
  <c r="D13" i="4"/>
  <c r="E13" i="4" s="1"/>
  <c r="F13" i="4" s="1"/>
  <c r="G13" i="4" s="1"/>
  <c r="H13" i="4" s="1"/>
  <c r="D14" i="4"/>
  <c r="E14" i="4" s="1"/>
  <c r="F14" i="4" s="1"/>
  <c r="G14" i="4" s="1"/>
  <c r="H14" i="4" s="1"/>
  <c r="D15" i="4"/>
  <c r="E15" i="4" s="1"/>
  <c r="F15" i="4" s="1"/>
  <c r="G15" i="4" s="1"/>
  <c r="H15" i="4" s="1"/>
  <c r="D16" i="4"/>
  <c r="E16" i="4" s="1"/>
  <c r="F16" i="4" s="1"/>
  <c r="G16" i="4" s="1"/>
  <c r="H16" i="4" s="1"/>
  <c r="K13" i="2"/>
  <c r="L13" i="2"/>
  <c r="M13" i="2"/>
  <c r="N13" i="2"/>
  <c r="J13" i="2"/>
  <c r="D37" i="2"/>
  <c r="E37" i="2"/>
  <c r="F37" i="2"/>
  <c r="G37" i="2"/>
  <c r="D38" i="2"/>
  <c r="E38" i="2"/>
  <c r="F38" i="2"/>
  <c r="G38" i="2"/>
  <c r="D39" i="2"/>
  <c r="E39" i="2"/>
  <c r="F39" i="2"/>
  <c r="G39" i="2"/>
  <c r="D40" i="2"/>
  <c r="E40" i="2"/>
  <c r="F40" i="2"/>
  <c r="G40" i="2"/>
  <c r="D41" i="2"/>
  <c r="E41" i="2"/>
  <c r="F41" i="2"/>
  <c r="G41" i="2"/>
  <c r="D42" i="2"/>
  <c r="E42" i="2"/>
  <c r="F42" i="2"/>
  <c r="G42" i="2"/>
  <c r="D43" i="2"/>
  <c r="E43" i="2"/>
  <c r="F43" i="2"/>
  <c r="G43" i="2"/>
  <c r="E36" i="2"/>
  <c r="F36" i="2"/>
  <c r="G36" i="2"/>
  <c r="D36" i="2"/>
  <c r="C37" i="2"/>
  <c r="C38" i="2"/>
  <c r="C39" i="2"/>
  <c r="C40" i="2"/>
  <c r="C41" i="2"/>
  <c r="C42" i="2"/>
  <c r="C43" i="2"/>
  <c r="C36" i="2"/>
  <c r="G35" i="4" l="1"/>
  <c r="F41" i="4"/>
  <c r="F39" i="4"/>
  <c r="F37" i="4"/>
  <c r="F35" i="4"/>
  <c r="D39" i="4"/>
  <c r="E41" i="4"/>
  <c r="E39" i="4"/>
  <c r="E37" i="4"/>
  <c r="E35" i="4"/>
  <c r="D37" i="4"/>
  <c r="G40" i="4"/>
  <c r="G38" i="4"/>
  <c r="G36" i="4"/>
  <c r="G34" i="4"/>
  <c r="D36" i="4"/>
  <c r="F40" i="4"/>
  <c r="F38" i="4"/>
  <c r="F36" i="4"/>
  <c r="F34" i="4"/>
  <c r="D35" i="4"/>
  <c r="E40" i="4"/>
  <c r="E38" i="4"/>
  <c r="E36" i="4"/>
  <c r="E34" i="4"/>
  <c r="H41" i="4"/>
  <c r="H39" i="4"/>
  <c r="H37" i="4"/>
  <c r="H51" i="2"/>
  <c r="H52" i="2"/>
  <c r="H46" i="2"/>
  <c r="H48" i="2"/>
  <c r="H47" i="2"/>
  <c r="H53" i="2"/>
  <c r="H50" i="2"/>
  <c r="H49" i="2"/>
  <c r="D5" i="4"/>
  <c r="E5" i="4" s="1"/>
  <c r="F5" i="4" s="1"/>
  <c r="G5" i="4" s="1"/>
  <c r="H5" i="4" s="1"/>
</calcChain>
</file>

<file path=xl/sharedStrings.xml><?xml version="1.0" encoding="utf-8"?>
<sst xmlns="http://schemas.openxmlformats.org/spreadsheetml/2006/main" count="180" uniqueCount="99">
  <si>
    <t>Application Markets</t>
  </si>
  <si>
    <t>Market</t>
  </si>
  <si>
    <t>Indoor Farms</t>
  </si>
  <si>
    <t>Healthcare Buildings (Hospitals)</t>
  </si>
  <si>
    <t>Restaurants</t>
  </si>
  <si>
    <t>Museums</t>
  </si>
  <si>
    <t>Data Centers</t>
  </si>
  <si>
    <t>Singapore</t>
  </si>
  <si>
    <t>Hong Kong</t>
  </si>
  <si>
    <t>?</t>
  </si>
  <si>
    <t>Japan</t>
  </si>
  <si>
    <t>China</t>
  </si>
  <si>
    <t>Taiwan</t>
  </si>
  <si>
    <t>Korea</t>
  </si>
  <si>
    <t>US</t>
  </si>
  <si>
    <t>France</t>
  </si>
  <si>
    <t>UK</t>
  </si>
  <si>
    <t>Germany</t>
  </si>
  <si>
    <t>Canada</t>
  </si>
  <si>
    <t>[Team member]</t>
  </si>
  <si>
    <t>Year</t>
  </si>
  <si>
    <t>Europe</t>
  </si>
  <si>
    <t>North America</t>
  </si>
  <si>
    <t>APAC</t>
  </si>
  <si>
    <t>Latin America</t>
  </si>
  <si>
    <t>MEA</t>
  </si>
  <si>
    <t>2021 Market by Segment</t>
  </si>
  <si>
    <t>Hospitality &amp; Leisure</t>
  </si>
  <si>
    <t>Educational</t>
  </si>
  <si>
    <t>Healthcare</t>
  </si>
  <si>
    <t>Industrial</t>
  </si>
  <si>
    <t>Office</t>
  </si>
  <si>
    <t>Public</t>
  </si>
  <si>
    <t>Retail</t>
  </si>
  <si>
    <t>Global Building Automation Systems (BAS) Market</t>
  </si>
  <si>
    <t>Frost &amp; Sullivan</t>
  </si>
  <si>
    <t>What's included in BAS?</t>
  </si>
  <si>
    <t>Sale of automation controllers</t>
  </si>
  <si>
    <t>Sale of automation and supervisory software</t>
  </si>
  <si>
    <t>What's excluded in BAS?</t>
  </si>
  <si>
    <t>Margins by channel partners, such as distributors, system integrators, installers, and other value-added services</t>
  </si>
  <si>
    <t>Edge devices such as sensors, actuators, switchboxes, cabling, and computers</t>
  </si>
  <si>
    <t>Revenue numbers are based on demand market (not origin market or factory)</t>
  </si>
  <si>
    <t>Asia</t>
  </si>
  <si>
    <t>Revenue (M)</t>
  </si>
  <si>
    <t>Tab</t>
  </si>
  <si>
    <t>[Team member] Graph</t>
  </si>
  <si>
    <t>AI in Buildings</t>
  </si>
  <si>
    <t>Building Types per Market</t>
  </si>
  <si>
    <t>Ambient Systems</t>
  </si>
  <si>
    <t>Market Research</t>
  </si>
  <si>
    <t>Competitive Analysis</t>
  </si>
  <si>
    <t>Company</t>
  </si>
  <si>
    <t>Product</t>
  </si>
  <si>
    <t>Link</t>
  </si>
  <si>
    <t>Siemens</t>
  </si>
  <si>
    <t>MindSphere</t>
  </si>
  <si>
    <t>https://siemens.mindsphere.io/en</t>
  </si>
  <si>
    <t>Honeywell</t>
  </si>
  <si>
    <t>Forge</t>
  </si>
  <si>
    <t>https://www.honeywell.com/us/en/honeywell-forge/buildings</t>
  </si>
  <si>
    <t>[Team member]</t>
  </si>
  <si>
    <t>Metasys</t>
  </si>
  <si>
    <t>https://www.johnsoncontrols.com/building-automation-and-controls/building-management/building-automation-systems-bas</t>
  </si>
  <si>
    <t>Schneider</t>
  </si>
  <si>
    <t>EcoStruxure</t>
  </si>
  <si>
    <t>https://www.se.com/sg/en/work/campaign/innovation/overview.jsp</t>
  </si>
  <si>
    <t>Bosch</t>
  </si>
  <si>
    <t>Connected Buildings</t>
  </si>
  <si>
    <t>https://blog.bosch-si.com/projects/bosch-singapore-campus-smart-building-concept-turned-reality/</t>
  </si>
  <si>
    <t>EcoEnergy Insights</t>
  </si>
  <si>
    <t>Cortix AI</t>
  </si>
  <si>
    <t>https://www.cortix.ai/</t>
  </si>
  <si>
    <t>https://ecoenergyinsights.com/how-we-do-it/proactive-solutions.php#how_we_do_it_video</t>
  </si>
  <si>
    <t>75F</t>
  </si>
  <si>
    <t>Facilisight</t>
  </si>
  <si>
    <t>https://www.75f.io/solutions/products/multi-site-building-automation-75f-facilisight</t>
  </si>
  <si>
    <t>BrainboxAI</t>
  </si>
  <si>
    <t>BrainboxAI Dashboard</t>
  </si>
  <si>
    <t>https://www.brainboxai.com/technology/</t>
  </si>
  <si>
    <t>BuildingIQ</t>
  </si>
  <si>
    <t>5i Intelligent Energy Platform</t>
  </si>
  <si>
    <t>https://buildingiq.com/products/5i-intelligent-energy-platform/</t>
  </si>
  <si>
    <t>Acuity Brands</t>
  </si>
  <si>
    <t>Atrius</t>
  </si>
  <si>
    <t>https://www.acuitybrands.com/brands/internet-of-things/atrius</t>
  </si>
  <si>
    <t>https://www.distech-controls.com/</t>
  </si>
  <si>
    <t>https://www.acuitybrands.com/products/building-management/unified-building-control</t>
  </si>
  <si>
    <t>Total</t>
  </si>
  <si>
    <t>Segment</t>
  </si>
  <si>
    <t>https://www.farmroad.io/</t>
  </si>
  <si>
    <t>FarmRoad</t>
  </si>
  <si>
    <t>Lettusgrow</t>
  </si>
  <si>
    <t>Ostara</t>
  </si>
  <si>
    <t>https://www.lettusgrow.com/ostara-farm-management</t>
  </si>
  <si>
    <t>General Electric</t>
  </si>
  <si>
    <t>Predix</t>
  </si>
  <si>
    <t>https://www.ge.com/digital/iiot-platform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</si>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</sst>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0" fontId="2" fillId="0" borderId="0" xfId="0" applyFont="1"/>
    <xf numFmtId="44" fontId="0" fillId="0" borderId="1" xfId="1" applyFont="1" applyBorder="1"/>
    <xf numFmtId="44" fontId="0" fillId="0" borderId="1" xfId="1" applyFont="1" applyBorder="1" applyAlignment="1">
      <alignment vertical="center"/>
    </xf>
    <xf numFmtId="0" fontId="0" fillId="0" borderId="1" xfId="0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1" xfId="0" applyFill="1" applyBorder="1"/>
    <xf numFmtId="164" fontId="0" fillId="0" borderId="1" xfId="2" applyNumberFormat="1" applyFont="1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4" fontId="2" fillId="2" borderId="1" xfId="1" applyFont="1" applyFill="1" applyBorder="1"/>
    <xf numFmtId="44" fontId="2" fillId="2" borderId="1" xfId="1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indent="1"/>
    </xf>
    <xf numFmtId="0" fontId="3" fillId="0" borderId="0" xfId="0" applyFont="1" applyBorder="1"/>
    <xf numFmtId="0" fontId="4" fillId="0" borderId="0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5" fillId="0" borderId="6" xfId="3" applyBorder="1" applyAlignment="1">
      <alignment vertical="center" wrapText="1"/>
    </xf>
    <xf numFmtId="44" fontId="0" fillId="0" borderId="0" xfId="0" applyNumberFormat="1"/>
    <xf numFmtId="0" fontId="0" fillId="0" borderId="0" xfId="0" applyFill="1" applyBorder="1"/>
    <xf numFmtId="0" fontId="2" fillId="0" borderId="1" xfId="0" applyFont="1" applyFill="1" applyBorder="1" applyAlignment="1">
      <alignment horizontal="center" vertical="center"/>
    </xf>
    <xf numFmtId="44" fontId="0" fillId="0" borderId="1" xfId="0" applyNumberFormat="1" applyBorder="1"/>
    <xf numFmtId="44" fontId="0" fillId="0" borderId="0" xfId="1" applyFont="1" applyBorder="1" applyAlignment="1">
      <alignment horizontal="center"/>
    </xf>
    <xf numFmtId="44" fontId="0" fillId="0" borderId="0" xfId="0" applyNumberFormat="1" applyBorder="1"/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5" xfId="0" applyBorder="1" applyAlignment="1">
      <alignment vertical="center" wrapText="1"/>
    </xf>
    <xf numFmtId="9" fontId="2" fillId="2" borderId="1" xfId="2" applyFont="1" applyFill="1" applyBorder="1" applyAlignment="1">
      <alignment vertical="center"/>
    </xf>
    <xf numFmtId="9" fontId="2" fillId="2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/>
    </xf>
    <xf numFmtId="44" fontId="2" fillId="2" borderId="1" xfId="0" applyNumberFormat="1" applyFont="1" applyFill="1" applyBorder="1" applyAlignment="1">
      <alignment horizontal="center"/>
    </xf>
    <xf numFmtId="9" fontId="2" fillId="2" borderId="10" xfId="2" applyFont="1" applyFill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0" fillId="0" borderId="8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calcChain" Target="calcChain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'BAS Market'!$C$45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 Market'!$B$46:$B$53</c:f>
              <c:strCache>
                <c:ptCount val="8"/>
                <c:pt idx="0">
                  <c:v>Office</c:v>
                </c:pt>
                <c:pt idx="1">
                  <c:v>Retail</c:v>
                </c:pt>
                <c:pt idx="2">
                  <c:v>Healthcare</c:v>
                </c:pt>
                <c:pt idx="3">
                  <c:v>Data Centers</c:v>
                </c:pt>
                <c:pt idx="4">
                  <c:v>Hospitality &amp; Leisure</c:v>
                </c:pt>
                <c:pt idx="5">
                  <c:v>Educational</c:v>
                </c:pt>
                <c:pt idx="6">
                  <c:v>Public</c:v>
                </c:pt>
                <c:pt idx="7">
                  <c:v>Industrial</c:v>
                </c:pt>
              </c:strCache>
            </c:strRef>
          </c:cat>
          <c:val>
            <c:numRef>
              <c:f>'BAS Market'!$C$46:$C$53</c:f>
              <c:numCache>
                <c:formatCode>_("$"* #,##0.00_);_("$"* \(#,##0.00\);_("$"* "-"??_);_(@_)</c:formatCode>
                <c:ptCount val="8"/>
                <c:pt idx="0">
                  <c:v>416.4264</c:v>
                </c:pt>
                <c:pt idx="1">
                  <c:v>293.04079999999999</c:v>
                </c:pt>
                <c:pt idx="2">
                  <c:v>179.29470000000001</c:v>
                </c:pt>
                <c:pt idx="3">
                  <c:v>127.24140000000001</c:v>
                </c:pt>
                <c:pt idx="4">
                  <c:v>198.5737</c:v>
                </c:pt>
                <c:pt idx="5">
                  <c:v>217.85270000000003</c:v>
                </c:pt>
                <c:pt idx="6">
                  <c:v>237.1317</c:v>
                </c:pt>
                <c:pt idx="7">
                  <c:v>258.33860000000004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A-7F48-A810-94D2FE364CE9}"/>
            </c:ext>
          </c:extLst>
        </c:ser>
        <c:ser>
          <c:idx val="1"/>
          <c:order val="1"/>
          <c:tx>
            <c:strRef>
              <c:f>'BAS Market'!$D$45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 Market'!$B$46:$B$53</c:f>
              <c:strCache>
                <c:ptCount val="8"/>
                <c:pt idx="0">
                  <c:v>Office</c:v>
                </c:pt>
                <c:pt idx="1">
                  <c:v>Retail</c:v>
                </c:pt>
                <c:pt idx="2">
                  <c:v>Healthcare</c:v>
                </c:pt>
                <c:pt idx="3">
                  <c:v>Data Centers</c:v>
                </c:pt>
                <c:pt idx="4">
                  <c:v>Hospitality &amp; Leisure</c:v>
                </c:pt>
                <c:pt idx="5">
                  <c:v>Educational</c:v>
                </c:pt>
                <c:pt idx="6">
                  <c:v>Public</c:v>
                </c:pt>
                <c:pt idx="7">
                  <c:v>Industrial</c:v>
                </c:pt>
              </c:strCache>
            </c:strRef>
          </c:cat>
          <c:val>
            <c:numRef>
              <c:f>'BAS Market'!$D$46:$D$53</c:f>
              <c:numCache>
                <c:formatCode>_("$"* #,##0.00_);_("$"* \(#,##0.00\);_("$"* "-"??_);_(@_)</c:formatCode>
                <c:ptCount val="8"/>
                <c:pt idx="0">
                  <c:v>212.86149999999998</c:v>
                </c:pt>
                <c:pt idx="1">
                  <c:v>199.12849999999997</c:v>
                </c:pt>
                <c:pt idx="2">
                  <c:v>173.03579999999999</c:v>
                </c:pt>
                <c:pt idx="3">
                  <c:v>238.95419999999999</c:v>
                </c:pt>
                <c:pt idx="4">
                  <c:v>79.651399999999995</c:v>
                </c:pt>
                <c:pt idx="5">
                  <c:v>199.12849999999997</c:v>
                </c:pt>
                <c:pt idx="6">
                  <c:v>177.1557</c:v>
                </c:pt>
                <c:pt idx="7">
                  <c:v>93.384399999999999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DA-7F48-A810-94D2FE364CE9}"/>
            </c:ext>
          </c:extLst>
        </c:ser>
        <c:ser>
          <c:idx val="2"/>
          <c:order val="2"/>
          <c:tx>
            <c:strRef>
              <c:f>'BAS Market'!$E$45</c:f>
              <c:strCache>
                <c:ptCount val="1"/>
                <c:pt idx="0">
                  <c:v>APAC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 Market'!$B$46:$B$53</c:f>
              <c:strCache>
                <c:ptCount val="8"/>
                <c:pt idx="0">
                  <c:v>Office</c:v>
                </c:pt>
                <c:pt idx="1">
                  <c:v>Retail</c:v>
                </c:pt>
                <c:pt idx="2">
                  <c:v>Healthcare</c:v>
                </c:pt>
                <c:pt idx="3">
                  <c:v>Data Centers</c:v>
                </c:pt>
                <c:pt idx="4">
                  <c:v>Hospitality &amp; Leisure</c:v>
                </c:pt>
                <c:pt idx="5">
                  <c:v>Educational</c:v>
                </c:pt>
                <c:pt idx="6">
                  <c:v>Public</c:v>
                </c:pt>
                <c:pt idx="7">
                  <c:v>Industrial</c:v>
                </c:pt>
              </c:strCache>
            </c:strRef>
          </c:cat>
          <c:val>
            <c:numRef>
              <c:f>'BAS Market'!$E$46:$E$53</c:f>
              <c:numCache>
                <c:formatCode>_("$"* #,##0.00_);_("$"* \(#,##0.00\);_("$"* "-"??_);_(@_)</c:formatCode>
                <c:ptCount val="8"/>
                <c:pt idx="0">
                  <c:v>194.87919999999997</c:v>
                </c:pt>
                <c:pt idx="1">
                  <c:v>219.23910000000001</c:v>
                </c:pt>
                <c:pt idx="2">
                  <c:v>220.52119999999996</c:v>
                </c:pt>
                <c:pt idx="3">
                  <c:v>174.3656</c:v>
                </c:pt>
                <c:pt idx="4">
                  <c:v>188.46869999999998</c:v>
                </c:pt>
                <c:pt idx="5">
                  <c:v>102.568</c:v>
                </c:pt>
                <c:pt idx="6">
                  <c:v>89.747</c:v>
                </c:pt>
                <c:pt idx="7">
                  <c:v>91.029099999999985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DA-7F48-A810-94D2FE364CE9}"/>
            </c:ext>
          </c:extLst>
        </c:ser>
        <c:ser>
          <c:idx val="3"/>
          <c:order val="3"/>
          <c:tx>
            <c:strRef>
              <c:f>'BAS Market'!$F$45</c:f>
              <c:strCache>
                <c:ptCount val="1"/>
                <c:pt idx="0">
                  <c:v>Latin America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 Market'!$B$46:$B$53</c:f>
              <c:strCache>
                <c:ptCount val="8"/>
                <c:pt idx="0">
                  <c:v>Office</c:v>
                </c:pt>
                <c:pt idx="1">
                  <c:v>Retail</c:v>
                </c:pt>
                <c:pt idx="2">
                  <c:v>Healthcare</c:v>
                </c:pt>
                <c:pt idx="3">
                  <c:v>Data Centers</c:v>
                </c:pt>
                <c:pt idx="4">
                  <c:v>Hospitality &amp; Leisure</c:v>
                </c:pt>
                <c:pt idx="5">
                  <c:v>Educational</c:v>
                </c:pt>
                <c:pt idx="6">
                  <c:v>Public</c:v>
                </c:pt>
                <c:pt idx="7">
                  <c:v>Industrial</c:v>
                </c:pt>
              </c:strCache>
            </c:strRef>
          </c:cat>
          <c:val>
            <c:numRef>
              <c:f>'BAS Market'!$F$46:$F$53</c:f>
              <c:numCache>
                <c:formatCode>_("$"* #,##0.00_);_("$"* \(#,##0.00\);_("$"* "-"??_);_(@_)</c:formatCode>
                <c:ptCount val="8"/>
                <c:pt idx="0">
                  <c:v>17.2346</c:v>
                </c:pt>
                <c:pt idx="1">
                  <c:v>19.6248</c:v>
                </c:pt>
                <c:pt idx="2">
                  <c:v>15.5992</c:v>
                </c:pt>
                <c:pt idx="3">
                  <c:v>12.4542</c:v>
                </c:pt>
                <c:pt idx="4">
                  <c:v>19.373200000000001</c:v>
                </c:pt>
                <c:pt idx="5">
                  <c:v>12.4542</c:v>
                </c:pt>
                <c:pt idx="6">
                  <c:v>14.5928</c:v>
                </c:pt>
                <c:pt idx="7">
                  <c:v>14.467000000000001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DA-7F48-A810-94D2FE364CE9}"/>
            </c:ext>
          </c:extLst>
        </c:ser>
        <c:ser>
          <c:idx val="4"/>
          <c:order val="4"/>
          <c:tx>
            <c:strRef>
              <c:f>'BAS Market'!$G$45</c:f>
              <c:strCache>
                <c:ptCount val="1"/>
                <c:pt idx="0">
                  <c:v>MEA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 Market'!$B$46:$B$53</c:f>
              <c:strCache>
                <c:ptCount val="8"/>
                <c:pt idx="0">
                  <c:v>Office</c:v>
                </c:pt>
                <c:pt idx="1">
                  <c:v>Retail</c:v>
                </c:pt>
                <c:pt idx="2">
                  <c:v>Healthcare</c:v>
                </c:pt>
                <c:pt idx="3">
                  <c:v>Data Centers</c:v>
                </c:pt>
                <c:pt idx="4">
                  <c:v>Hospitality &amp; Leisure</c:v>
                </c:pt>
                <c:pt idx="5">
                  <c:v>Educational</c:v>
                </c:pt>
                <c:pt idx="6">
                  <c:v>Public</c:v>
                </c:pt>
                <c:pt idx="7">
                  <c:v>Industrial</c:v>
                </c:pt>
              </c:strCache>
            </c:strRef>
          </c:cat>
          <c:val>
            <c:numRef>
              <c:f>'BAS Market'!$G$46:$G$53</c:f>
              <c:numCache>
                <c:formatCode>_("$"* #,##0.00_);_("$"* \(#,##0.00\);_("$"* "-"??_);_(@_)</c:formatCode>
                <c:ptCount val="8"/>
                <c:pt idx="0">
                  <c:v>19.592399999999998</c:v>
                </c:pt>
                <c:pt idx="1">
                  <c:v>32.879199999999997</c:v>
                </c:pt>
                <c:pt idx="2">
                  <c:v>28.15</c:v>
                </c:pt>
                <c:pt idx="3">
                  <c:v>11.935599999999999</c:v>
                </c:pt>
                <c:pt idx="4">
                  <c:v>69.361599999999996</c:v>
                </c:pt>
                <c:pt idx="5">
                  <c:v>13.286799999999999</c:v>
                </c:pt>
                <c:pt idx="6">
                  <c:v>22.970399999999998</c:v>
                </c:pt>
                <c:pt idx="7">
                  <c:v>20.267999999999997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DA-7F48-A810-94D2FE364CE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64877855"/>
        <c:axId val="264843615"/>
      </c:barChart>
      <c:catAx>
        <c:axId val="26487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843615"/>
        <c:crosses val="autoZero"/>
        <c:auto val="1"/>
        <c:lblAlgn val="ctr"/>
        <c:lblOffset val="100"/>
        <c:noMultiLvlLbl val="0"/>
      </c:catAx>
      <c:valAx>
        <c:axId val="264843615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26487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 Market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'BAS Market'!$B$36</c:f>
              <c:strCache>
                <c:ptCount val="1"/>
                <c:pt idx="0">
                  <c:v>Data Centers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'BAS Market'!$C$35:$G$35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APAC</c:v>
                </c:pt>
                <c:pt idx="3">
                  <c:v>Latin America</c:v>
                </c:pt>
                <c:pt idx="4">
                  <c:v>MEA</c:v>
                </c:pt>
              </c:strCache>
            </c:strRef>
          </c:cat>
          <c:val>
            <c:numRef>
              <c:f>'BAS Market'!$C$36:$G$36</c:f>
              <c:numCache>
                <c:formatCode>_("$"* #,##0.00_);_("$"* \(#,##0.00\);_("$"* "-"??_);_(@_)</c:formatCode>
                <c:ptCount val="5"/>
                <c:pt idx="0">
                  <c:v>127.24140000000001</c:v>
                </c:pt>
                <c:pt idx="1">
                  <c:v>238.95419999999999</c:v>
                </c:pt>
                <c:pt idx="2">
                  <c:v>174.3656</c:v>
                </c:pt>
                <c:pt idx="3">
                  <c:v>12.4542</c:v>
                </c:pt>
                <c:pt idx="4">
                  <c:v>11.935599999999999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8-3F4D-BBFF-A876CCF87DF9}"/>
            </c:ext>
          </c:extLst>
        </c:ser>
        <c:ser>
          <c:idx val="1"/>
          <c:order val="1"/>
          <c:tx>
            <c:strRef>
              <c:f>'BAS Market'!$B$37</c:f>
              <c:strCache>
                <c:ptCount val="1"/>
                <c:pt idx="0">
                  <c:v>Educational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'BAS Market'!$C$35:$G$35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APAC</c:v>
                </c:pt>
                <c:pt idx="3">
                  <c:v>Latin America</c:v>
                </c:pt>
                <c:pt idx="4">
                  <c:v>MEA</c:v>
                </c:pt>
              </c:strCache>
            </c:strRef>
          </c:cat>
          <c:val>
            <c:numRef>
              <c:f>'BAS Market'!$C$37:$G$37</c:f>
              <c:numCache>
                <c:formatCode>_("$"* #,##0.00_);_("$"* \(#,##0.00\);_("$"* "-"??_);_(@_)</c:formatCode>
                <c:ptCount val="5"/>
                <c:pt idx="0">
                  <c:v>217.85270000000003</c:v>
                </c:pt>
                <c:pt idx="1">
                  <c:v>199.12849999999997</c:v>
                </c:pt>
                <c:pt idx="2">
                  <c:v>102.568</c:v>
                </c:pt>
                <c:pt idx="3">
                  <c:v>12.4542</c:v>
                </c:pt>
                <c:pt idx="4">
                  <c:v>13.286799999999999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28-3F4D-BBFF-A876CCF87DF9}"/>
            </c:ext>
          </c:extLst>
        </c:ser>
        <c:ser>
          <c:idx val="2"/>
          <c:order val="2"/>
          <c:tx>
            <c:strRef>
              <c:f>'BAS Market'!$B$38</c:f>
              <c:strCache>
                <c:ptCount val="1"/>
                <c:pt idx="0">
                  <c:v>Hospitality &amp; Leisure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'BAS Market'!$C$35:$G$35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APAC</c:v>
                </c:pt>
                <c:pt idx="3">
                  <c:v>Latin America</c:v>
                </c:pt>
                <c:pt idx="4">
                  <c:v>MEA</c:v>
                </c:pt>
              </c:strCache>
            </c:strRef>
          </c:cat>
          <c:val>
            <c:numRef>
              <c:f>'BAS Market'!$C$38:$G$38</c:f>
              <c:numCache>
                <c:formatCode>_("$"* #,##0.00_);_("$"* \(#,##0.00\);_("$"* "-"??_);_(@_)</c:formatCode>
                <c:ptCount val="5"/>
                <c:pt idx="0">
                  <c:v>198.5737</c:v>
                </c:pt>
                <c:pt idx="1">
                  <c:v>79.651399999999995</c:v>
                </c:pt>
                <c:pt idx="2">
                  <c:v>188.46869999999998</c:v>
                </c:pt>
                <c:pt idx="3">
                  <c:v>19.373200000000001</c:v>
                </c:pt>
                <c:pt idx="4">
                  <c:v>69.361599999999996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28-3F4D-BBFF-A876CCF87DF9}"/>
            </c:ext>
          </c:extLst>
        </c:ser>
        <c:ser>
          <c:idx val="3"/>
          <c:order val="3"/>
          <c:tx>
            <c:strRef>
              <c:f>'BAS Market'!$B$39</c:f>
              <c:strCache>
                <c:ptCount val="1"/>
                <c:pt idx="0">
                  <c:v>Healthcare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'BAS Market'!$C$35:$G$35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APAC</c:v>
                </c:pt>
                <c:pt idx="3">
                  <c:v>Latin America</c:v>
                </c:pt>
                <c:pt idx="4">
                  <c:v>MEA</c:v>
                </c:pt>
              </c:strCache>
            </c:strRef>
          </c:cat>
          <c:val>
            <c:numRef>
              <c:f>'BAS Market'!$C$39:$G$39</c:f>
              <c:numCache>
                <c:formatCode>_("$"* #,##0.00_);_("$"* \(#,##0.00\);_("$"* "-"??_);_(@_)</c:formatCode>
                <c:ptCount val="5"/>
                <c:pt idx="0">
                  <c:v>179.29470000000001</c:v>
                </c:pt>
                <c:pt idx="1">
                  <c:v>173.03579999999999</c:v>
                </c:pt>
                <c:pt idx="2">
                  <c:v>220.52119999999996</c:v>
                </c:pt>
                <c:pt idx="3">
                  <c:v>15.5992</c:v>
                </c:pt>
                <c:pt idx="4">
                  <c:v>28.15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28-3F4D-BBFF-A876CCF87DF9}"/>
            </c:ext>
          </c:extLst>
        </c:ser>
        <c:ser>
          <c:idx val="4"/>
          <c:order val="4"/>
          <c:tx>
            <c:strRef>
              <c:f>'BAS Market'!$B$40</c:f>
              <c:strCache>
                <c:ptCount val="1"/>
                <c:pt idx="0">
                  <c:v>Industrial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'BAS Market'!$C$35:$G$35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APAC</c:v>
                </c:pt>
                <c:pt idx="3">
                  <c:v>Latin America</c:v>
                </c:pt>
                <c:pt idx="4">
                  <c:v>MEA</c:v>
                </c:pt>
              </c:strCache>
            </c:strRef>
          </c:cat>
          <c:val>
            <c:numRef>
              <c:f>'BAS Market'!$C$40:$G$40</c:f>
              <c:numCache>
                <c:formatCode>_("$"* #,##0.00_);_("$"* \(#,##0.00\);_("$"* "-"??_);_(@_)</c:formatCode>
                <c:ptCount val="5"/>
                <c:pt idx="0">
                  <c:v>258.33860000000004</c:v>
                </c:pt>
                <c:pt idx="1">
                  <c:v>93.384399999999999</c:v>
                </c:pt>
                <c:pt idx="2">
                  <c:v>91.029099999999985</c:v>
                </c:pt>
                <c:pt idx="3">
                  <c:v>14.467000000000001</c:v>
                </c:pt>
                <c:pt idx="4">
                  <c:v>20.267999999999997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28-3F4D-BBFF-A876CCF87DF9}"/>
            </c:ext>
          </c:extLst>
        </c:ser>
        <c:ser>
          <c:idx val="5"/>
          <c:order val="5"/>
          <c:tx>
            <c:strRef>
              <c:f>'BAS Market'!$B$41</c:f>
              <c:strCache>
                <c:ptCount val="1"/>
                <c:pt idx="0">
                  <c:v>Office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'BAS Market'!$C$35:$G$35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APAC</c:v>
                </c:pt>
                <c:pt idx="3">
                  <c:v>Latin America</c:v>
                </c:pt>
                <c:pt idx="4">
                  <c:v>MEA</c:v>
                </c:pt>
              </c:strCache>
            </c:strRef>
          </c:cat>
          <c:val>
            <c:numRef>
              <c:f>'BAS Market'!$C$41:$G$41</c:f>
              <c:numCache>
                <c:formatCode>_("$"* #,##0.00_);_("$"* \(#,##0.00\);_("$"* "-"??_);_(@_)</c:formatCode>
                <c:ptCount val="5"/>
                <c:pt idx="0">
                  <c:v>416.4264</c:v>
                </c:pt>
                <c:pt idx="1">
                  <c:v>212.86149999999998</c:v>
                </c:pt>
                <c:pt idx="2">
                  <c:v>194.87919999999997</c:v>
                </c:pt>
                <c:pt idx="3">
                  <c:v>17.2346</c:v>
                </c:pt>
                <c:pt idx="4">
                  <c:v>19.592399999999998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28-3F4D-BBFF-A876CCF87DF9}"/>
            </c:ext>
          </c:extLst>
        </c:ser>
        <c:ser>
          <c:idx val="6"/>
          <c:order val="6"/>
          <c:tx>
            <c:strRef>
              <c:f>'BAS Market'!$B$42</c:f>
              <c:strCache>
                <c:ptCount val="1"/>
                <c:pt idx="0">
                  <c:v>Public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'BAS Market'!$C$35:$G$35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APAC</c:v>
                </c:pt>
                <c:pt idx="3">
                  <c:v>Latin America</c:v>
                </c:pt>
                <c:pt idx="4">
                  <c:v>MEA</c:v>
                </c:pt>
              </c:strCache>
            </c:strRef>
          </c:cat>
          <c:val>
            <c:numRef>
              <c:f>'BAS Market'!$C$42:$G$42</c:f>
              <c:numCache>
                <c:formatCode>_("$"* #,##0.00_);_("$"* \(#,##0.00\);_("$"* "-"??_);_(@_)</c:formatCode>
                <c:ptCount val="5"/>
                <c:pt idx="0">
                  <c:v>237.1317</c:v>
                </c:pt>
                <c:pt idx="1">
                  <c:v>177.1557</c:v>
                </c:pt>
                <c:pt idx="2">
                  <c:v>89.747</c:v>
                </c:pt>
                <c:pt idx="3">
                  <c:v>14.5928</c:v>
                </c:pt>
                <c:pt idx="4">
                  <c:v>22.970399999999998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28-3F4D-BBFF-A876CCF87DF9}"/>
            </c:ext>
          </c:extLst>
        </c:ser>
        <c:ser>
          <c:idx val="7"/>
          <c:order val="7"/>
          <c:tx>
            <c:strRef>
              <c:f>'BAS Market'!$B$43</c:f>
              <c:strCache>
                <c:ptCount val="1"/>
                <c:pt idx="0">
                  <c:v>Retail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'BAS Market'!$C$35:$G$35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APAC</c:v>
                </c:pt>
                <c:pt idx="3">
                  <c:v>Latin America</c:v>
                </c:pt>
                <c:pt idx="4">
                  <c:v>MEA</c:v>
                </c:pt>
              </c:strCache>
            </c:strRef>
          </c:cat>
          <c:val>
            <c:numRef>
              <c:f>'BAS Market'!$C$43:$G$43</c:f>
              <c:numCache>
                <c:formatCode>_("$"* #,##0.00_);_("$"* \(#,##0.00\);_("$"* "-"??_);_(@_)</c:formatCode>
                <c:ptCount val="5"/>
                <c:pt idx="0">
                  <c:v>293.04079999999999</c:v>
                </c:pt>
                <c:pt idx="1">
                  <c:v>199.12849999999997</c:v>
                </c:pt>
                <c:pt idx="2">
                  <c:v>219.23910000000001</c:v>
                </c:pt>
                <c:pt idx="3">
                  <c:v>19.6248</c:v>
                </c:pt>
                <c:pt idx="4">
                  <c:v>32.879199999999997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728-3F4D-BBFF-A876CCF87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7108880"/>
        <c:axId val="410439520"/>
      </c:barChart>
      <c:catAx>
        <c:axId val="39710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439520"/>
        <c:crosses val="autoZero"/>
        <c:auto val="1"/>
        <c:lblAlgn val="ctr"/>
        <c:lblOffset val="100"/>
        <c:noMultiLvlLbl val="0"/>
      </c:catAx>
      <c:valAx>
        <c:axId val="41043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10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'AI in buildings'!$C$4</c:f>
              <c:strCache>
                <c:ptCount val="1"/>
                <c:pt idx="0">
                  <c:v>Revenue (M)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'AI in buildings'!$B$5:$B$16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'AI in buildings'!$C$5:$C$16</c:f>
              <c:numCache>
                <c:formatCode>_("$"* #,##0.00_);_("$"* \(#,##0.00\);_("$"* "-"??_);_(@_)</c:formatCode>
                <c:ptCount val="12"/>
                <c:pt idx="0">
                  <c:v>168.4</c:v>
                </c:pt>
                <c:pt idx="1">
                  <c:v>236.1</c:v>
                </c:pt>
                <c:pt idx="2">
                  <c:v>296.89999999999998</c:v>
                </c:pt>
                <c:pt idx="3">
                  <c:v>407.9</c:v>
                </c:pt>
                <c:pt idx="4">
                  <c:v>535.20000000000005</c:v>
                </c:pt>
                <c:pt idx="5">
                  <c:v>718.2</c:v>
                </c:pt>
                <c:pt idx="6">
                  <c:v>1025.3</c:v>
                </c:pt>
                <c:pt idx="7">
                  <c:v>1396.6</c:v>
                </c:pt>
                <c:pt idx="8">
                  <c:v>1940.1</c:v>
                </c:pt>
                <c:pt idx="9">
                  <c:v>2716</c:v>
                </c:pt>
                <c:pt idx="10">
                  <c:v>3633.2</c:v>
                </c:pt>
                <c:pt idx="11">
                  <c:v>4831.5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97-BB42-BC8C-0E2E1359DF6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0273648"/>
        <c:axId val="420275296"/>
      </c:lineChart>
      <c:catAx>
        <c:axId val="42027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275296"/>
        <c:crosses val="autoZero"/>
        <c:auto val="1"/>
        <c:lblAlgn val="ctr"/>
        <c:lblOffset val="100"/>
        <c:noMultiLvlLbl val="0"/>
      </c:catAx>
      <c:valAx>
        <c:axId val="42027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27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58B5634-CFEE-1442-B476-4A22AB5A7803}">
  <sheetPr/>
  <sheetViews>
    <sheetView zoomScale="9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</xdr:colOff>
      <xdr:row>34</xdr:row>
      <xdr:rowOff>12700</xdr:rowOff>
    </xdr:from>
    <xdr:to>
      <xdr:col>19</xdr:col>
      <xdr:colOff>787400</xdr:colOff>
      <xdr:row>57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BC6490-A21C-A84A-BBEA-1C0DDFF49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4222" cy="6279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2005E6-8664-3B4E-92A0-E84D70C2E2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787400</xdr:colOff>
      <xdr:row>41</xdr:row>
      <xdr:rowOff>152400</xdr:rowOff>
    </xdr:from>
    <xdr:to>
      <xdr:col>9</xdr:col>
      <xdr:colOff>12700</xdr:colOff>
      <xdr:row>58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1DFA2D-25FC-CC47-92F8-BAE5F5DD8C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75f.io/solutions/products/multi-site-building-automation-75f-facilisight" TargetMode="External"/><Relationship Id="rId2" Type="http://schemas.openxmlformats.org/officeDocument/2006/relationships/hyperlink" Target="https://ecoenergyinsights.com/how-we-do-it/proactive-solutions.php" TargetMode="External"/><Relationship Id="rId1" Type="http://schemas.openxmlformats.org/officeDocument/2006/relationships/hyperlink" Target="https://www.cortix.ai/" TargetMode="External"/><Relationship Id="rId4" Type="http://schemas.openxmlformats.org/officeDocument/2006/relationships/hyperlink" Target="https://www.acuitybrands.com/products/building-management/unified-building-contro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ettusgrow.com/ostara-farm-management" TargetMode="External"/><Relationship Id="rId1" Type="http://schemas.openxmlformats.org/officeDocument/2006/relationships/hyperlink" Target="https://www.farmroad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D92C3-5D34-924B-8BC1-AACB43436B2F}">
  <dimension ref="B2:D10"/>
  <sheetViews>
    <sheetView workbookViewId="0">
      <selection activeCell="B11" sqref="B11"/>
    </sheetView>
  </sheetViews>
  <sheetFormatPr baseColWidth="10" defaultRowHeight="16" x14ac:dyDescent="0.2"/>
  <cols>
    <col min="2" max="2" width="22.83203125" bestFit="1" customWidth="1"/>
  </cols>
  <sheetData>
    <row r="2" spans="2:4" x14ac:dyDescent="0.2">
      <c r="B2" s="2" t="s">
        <v>49</v>
      </c>
    </row>
    <row r="3" spans="2:4" x14ac:dyDescent="0.2">
      <c r="B3" s="2" t="s">
        <v>50</v>
      </c>
    </row>
    <row r="5" spans="2:4" x14ac:dyDescent="0.2">
      <c r="B5" s="1" t="s">
        <v>45</v>
      </c>
      <c r="C5" s="1"/>
      <c r="D5" s="1"/>
    </row>
    <row r="6" spans="2:4" x14ac:dyDescent="0.2">
      <c r="B6" s="1" t="s">
        <v>19</v>
      </c>
      <c r="C6" s="1"/>
      <c r="D6" s="1"/>
    </row>
    <row r="7" spans="2:4" x14ac:dyDescent="0.2">
      <c r="B7" s="1" t="s">
        <v>46</v>
      </c>
      <c r="C7" s="1"/>
      <c r="D7" s="1"/>
    </row>
    <row r="8" spans="2:4" x14ac:dyDescent="0.2">
      <c r="B8" s="1" t="s">
        <v>47</v>
      </c>
      <c r="C8" s="1"/>
      <c r="D8" s="1"/>
    </row>
    <row r="9" spans="2:4" x14ac:dyDescent="0.2">
      <c r="B9" s="1" t="s">
        <v>48</v>
      </c>
      <c r="C9" s="1"/>
      <c r="D9" s="1"/>
    </row>
    <row r="10" spans="2:4" x14ac:dyDescent="0.2">
      <c r="B10" s="1" t="s">
        <v>51</v>
      </c>
      <c r="C10" s="1"/>
      <c r="D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E81CC-7781-EA45-886D-88234AF38089}">
  <dimension ref="B2:N68"/>
  <sheetViews>
    <sheetView topLeftCell="A2" workbookViewId="0">
      <selection activeCell="D34" sqref="D34"/>
    </sheetView>
  </sheetViews>
  <sheetFormatPr baseColWidth="10" defaultRowHeight="16" x14ac:dyDescent="0.2"/>
  <cols>
    <col min="1" max="1" width="10.83203125" customWidth="1"/>
    <col min="2" max="2" width="24.6640625" customWidth="1"/>
    <col min="3" max="5" width="14" bestFit="1" customWidth="1"/>
    <col min="6" max="6" width="12.5" bestFit="1" customWidth="1"/>
    <col min="7" max="7" width="11.5" bestFit="1" customWidth="1"/>
  </cols>
  <sheetData>
    <row r="2" spans="2:14" x14ac:dyDescent="0.2">
      <c r="B2" s="18" t="s">
        <v>34</v>
      </c>
    </row>
    <row r="3" spans="2:14" x14ac:dyDescent="0.2">
      <c r="B3" s="18">
        <v>2020</v>
      </c>
    </row>
    <row r="4" spans="2:14" x14ac:dyDescent="0.2">
      <c r="B4" s="18" t="s">
        <v>35</v>
      </c>
    </row>
    <row r="6" spans="2:14" x14ac:dyDescent="0.2">
      <c r="B6" s="2" t="s">
        <v>19</v>
      </c>
    </row>
    <row r="8" spans="2:14" x14ac:dyDescent="0.2">
      <c r="B8" s="16" t="s">
        <v>20</v>
      </c>
      <c r="C8" s="16" t="s">
        <v>21</v>
      </c>
      <c r="D8" s="16" t="s">
        <v>22</v>
      </c>
      <c r="E8" s="16" t="s">
        <v>23</v>
      </c>
      <c r="F8" s="16" t="s">
        <v>24</v>
      </c>
      <c r="G8" s="16" t="s">
        <v>25</v>
      </c>
    </row>
    <row r="9" spans="2:14" x14ac:dyDescent="0.2">
      <c r="B9" s="5">
        <v>2017</v>
      </c>
      <c r="C9" s="3">
        <v>1776</v>
      </c>
      <c r="D9" s="4">
        <v>1232.9000000000001</v>
      </c>
      <c r="E9" s="3">
        <v>1107.2</v>
      </c>
      <c r="F9" s="4">
        <v>106.9</v>
      </c>
      <c r="G9" s="4">
        <v>197.2</v>
      </c>
    </row>
    <row r="10" spans="2:14" x14ac:dyDescent="0.2">
      <c r="B10" s="5">
        <v>2018</v>
      </c>
      <c r="C10" s="3">
        <v>1823.5</v>
      </c>
      <c r="D10" s="4">
        <v>1269.9000000000001</v>
      </c>
      <c r="E10" s="3">
        <v>1149.2</v>
      </c>
      <c r="F10" s="4">
        <v>111</v>
      </c>
      <c r="G10" s="4">
        <v>203.5</v>
      </c>
    </row>
    <row r="11" spans="2:14" x14ac:dyDescent="0.2">
      <c r="B11" s="5">
        <v>2019</v>
      </c>
      <c r="C11" s="3">
        <v>1865.5</v>
      </c>
      <c r="D11" s="4">
        <v>1310.5</v>
      </c>
      <c r="E11" s="3">
        <v>1195.2</v>
      </c>
      <c r="F11" s="4">
        <v>115.6</v>
      </c>
      <c r="G11" s="4">
        <v>210</v>
      </c>
    </row>
    <row r="12" spans="2:14" x14ac:dyDescent="0.2">
      <c r="B12" s="5">
        <v>2020</v>
      </c>
      <c r="C12" s="3">
        <v>1878.5</v>
      </c>
      <c r="D12" s="4">
        <v>1321.3</v>
      </c>
      <c r="E12" s="3">
        <v>1210.2</v>
      </c>
      <c r="F12" s="4">
        <v>117.7</v>
      </c>
      <c r="G12" s="4">
        <v>212.9</v>
      </c>
    </row>
    <row r="13" spans="2:14" x14ac:dyDescent="0.2">
      <c r="B13" s="11">
        <v>2021</v>
      </c>
      <c r="C13" s="12">
        <v>1927.9</v>
      </c>
      <c r="D13" s="13">
        <v>1373.3</v>
      </c>
      <c r="E13" s="12">
        <v>1282.0999999999999</v>
      </c>
      <c r="F13" s="13">
        <v>125.8</v>
      </c>
      <c r="G13" s="13">
        <v>225.2</v>
      </c>
      <c r="I13" s="11">
        <v>2021</v>
      </c>
      <c r="J13" s="38">
        <f>C13/SUM($C13:$G13)</f>
        <v>0.39071398171979821</v>
      </c>
      <c r="K13" s="38">
        <f t="shared" ref="K13:N13" si="0">D13/SUM($C13:$G13)</f>
        <v>0.27831708651683118</v>
      </c>
      <c r="L13" s="38">
        <f t="shared" si="0"/>
        <v>0.25983422167278036</v>
      </c>
      <c r="M13" s="38">
        <f t="shared" si="0"/>
        <v>2.5495004357254325E-2</v>
      </c>
      <c r="N13" s="38">
        <f t="shared" si="0"/>
        <v>4.563970573333604E-2</v>
      </c>
    </row>
    <row r="14" spans="2:14" x14ac:dyDescent="0.2">
      <c r="B14" s="5">
        <v>2022</v>
      </c>
      <c r="C14" s="3">
        <v>1963.6</v>
      </c>
      <c r="D14" s="4">
        <v>1420.8</v>
      </c>
      <c r="E14" s="3">
        <v>1340.7</v>
      </c>
      <c r="F14" s="4">
        <v>131.5</v>
      </c>
      <c r="G14" s="4">
        <v>234.1</v>
      </c>
    </row>
    <row r="15" spans="2:14" x14ac:dyDescent="0.2">
      <c r="B15" s="5">
        <v>2023</v>
      </c>
      <c r="C15" s="3">
        <v>2007.4</v>
      </c>
      <c r="D15" s="4">
        <v>1472.3</v>
      </c>
      <c r="E15" s="3">
        <v>1408.1</v>
      </c>
      <c r="F15" s="4">
        <v>137</v>
      </c>
      <c r="G15" s="4">
        <v>242.8</v>
      </c>
    </row>
    <row r="16" spans="2:14" x14ac:dyDescent="0.2">
      <c r="B16" s="5">
        <v>2024</v>
      </c>
      <c r="C16" s="3">
        <v>2059.8000000000002</v>
      </c>
      <c r="D16" s="4">
        <v>1523.4</v>
      </c>
      <c r="E16" s="3">
        <v>1483.4</v>
      </c>
      <c r="F16" s="4">
        <v>143.19999999999999</v>
      </c>
      <c r="G16" s="4">
        <v>253.3</v>
      </c>
    </row>
    <row r="17" spans="2:7" x14ac:dyDescent="0.2">
      <c r="B17" s="5">
        <v>2025</v>
      </c>
      <c r="C17" s="3">
        <v>2121.4</v>
      </c>
      <c r="D17" s="4">
        <v>1584.8</v>
      </c>
      <c r="E17" s="3">
        <v>1560.5</v>
      </c>
      <c r="F17" s="4">
        <v>149.4</v>
      </c>
      <c r="G17" s="4">
        <v>263.5</v>
      </c>
    </row>
    <row r="18" spans="2:7" x14ac:dyDescent="0.2">
      <c r="B18" s="5">
        <v>2026</v>
      </c>
      <c r="C18" s="3">
        <v>2184</v>
      </c>
      <c r="D18" s="4">
        <v>1655.2</v>
      </c>
      <c r="E18" s="3">
        <v>1646.5</v>
      </c>
      <c r="F18" s="3">
        <v>155.4</v>
      </c>
      <c r="G18" s="4">
        <v>274.89999999999998</v>
      </c>
    </row>
    <row r="21" spans="2:7" x14ac:dyDescent="0.2">
      <c r="B21" s="6" t="s">
        <v>26</v>
      </c>
    </row>
    <row r="22" spans="2:7" x14ac:dyDescent="0.2">
      <c r="C22" s="17" t="s">
        <v>21</v>
      </c>
      <c r="D22" s="17" t="s">
        <v>22</v>
      </c>
      <c r="E22" s="17" t="s">
        <v>23</v>
      </c>
      <c r="F22" s="17" t="s">
        <v>24</v>
      </c>
      <c r="G22" s="17" t="s">
        <v>25</v>
      </c>
    </row>
    <row r="23" spans="2:7" x14ac:dyDescent="0.2">
      <c r="B23" s="1" t="s">
        <v>6</v>
      </c>
      <c r="C23" s="9">
        <v>6.6000000000000003E-2</v>
      </c>
      <c r="D23" s="8">
        <v>0.17399999999999999</v>
      </c>
      <c r="E23" s="9">
        <v>0.13600000000000001</v>
      </c>
      <c r="F23" s="9">
        <v>9.9000000000000005E-2</v>
      </c>
      <c r="G23" s="9">
        <v>5.2999999999999999E-2</v>
      </c>
    </row>
    <row r="24" spans="2:7" x14ac:dyDescent="0.2">
      <c r="B24" s="1" t="s">
        <v>28</v>
      </c>
      <c r="C24" s="9">
        <v>0.113</v>
      </c>
      <c r="D24" s="8">
        <v>0.14499999999999999</v>
      </c>
      <c r="E24" s="9">
        <v>0.08</v>
      </c>
      <c r="F24" s="9">
        <v>9.9000000000000005E-2</v>
      </c>
      <c r="G24" s="9">
        <v>5.8999999999999997E-2</v>
      </c>
    </row>
    <row r="25" spans="2:7" x14ac:dyDescent="0.2">
      <c r="B25" s="1" t="s">
        <v>27</v>
      </c>
      <c r="C25" s="9">
        <v>0.10299999999999999</v>
      </c>
      <c r="D25" s="8">
        <v>5.8000000000000003E-2</v>
      </c>
      <c r="E25" s="9">
        <v>0.14699999999999999</v>
      </c>
      <c r="F25" s="9">
        <v>0.154</v>
      </c>
      <c r="G25" s="9">
        <v>0.308</v>
      </c>
    </row>
    <row r="26" spans="2:7" x14ac:dyDescent="0.2">
      <c r="B26" s="1" t="s">
        <v>29</v>
      </c>
      <c r="C26" s="9">
        <v>9.2999999999999999E-2</v>
      </c>
      <c r="D26" s="8">
        <v>0.126</v>
      </c>
      <c r="E26" s="9">
        <v>0.17199999999999999</v>
      </c>
      <c r="F26" s="9">
        <v>0.124</v>
      </c>
      <c r="G26" s="9">
        <v>0.125</v>
      </c>
    </row>
    <row r="27" spans="2:7" x14ac:dyDescent="0.2">
      <c r="B27" s="1" t="s">
        <v>30</v>
      </c>
      <c r="C27" s="9">
        <v>0.13400000000000001</v>
      </c>
      <c r="D27" s="8">
        <v>6.8000000000000005E-2</v>
      </c>
      <c r="E27" s="9">
        <v>7.0999999999999994E-2</v>
      </c>
      <c r="F27" s="9">
        <v>0.115</v>
      </c>
      <c r="G27" s="9">
        <v>0.09</v>
      </c>
    </row>
    <row r="28" spans="2:7" x14ac:dyDescent="0.2">
      <c r="B28" s="1" t="s">
        <v>31</v>
      </c>
      <c r="C28" s="9">
        <v>0.216</v>
      </c>
      <c r="D28" s="8">
        <v>0.155</v>
      </c>
      <c r="E28" s="9">
        <v>0.152</v>
      </c>
      <c r="F28" s="9">
        <v>0.13700000000000001</v>
      </c>
      <c r="G28" s="9">
        <v>8.6999999999999994E-2</v>
      </c>
    </row>
    <row r="29" spans="2:7" x14ac:dyDescent="0.2">
      <c r="B29" s="1" t="s">
        <v>32</v>
      </c>
      <c r="C29" s="9">
        <v>0.123</v>
      </c>
      <c r="D29" s="8">
        <v>0.129</v>
      </c>
      <c r="E29" s="9">
        <v>7.0000000000000007E-2</v>
      </c>
      <c r="F29" s="9">
        <v>0.11600000000000001</v>
      </c>
      <c r="G29" s="9">
        <v>0.10199999999999999</v>
      </c>
    </row>
    <row r="30" spans="2:7" x14ac:dyDescent="0.2">
      <c r="B30" s="7" t="s">
        <v>33</v>
      </c>
      <c r="C30" s="9">
        <v>0.152</v>
      </c>
      <c r="D30" s="8">
        <v>0.14499999999999999</v>
      </c>
      <c r="E30" s="9">
        <v>0.17100000000000001</v>
      </c>
      <c r="F30" s="9">
        <v>0.156</v>
      </c>
      <c r="G30" s="9">
        <v>0.14599999999999999</v>
      </c>
    </row>
    <row r="33" spans="2:8" x14ac:dyDescent="0.2">
      <c r="B33" s="6" t="s">
        <v>26</v>
      </c>
    </row>
    <row r="34" spans="2:8" x14ac:dyDescent="0.2">
      <c r="B34" s="6"/>
    </row>
    <row r="35" spans="2:8" x14ac:dyDescent="0.2">
      <c r="B35" s="36" t="s">
        <v>89</v>
      </c>
      <c r="C35" s="17" t="s">
        <v>21</v>
      </c>
      <c r="D35" s="17" t="s">
        <v>22</v>
      </c>
      <c r="E35" s="17" t="s">
        <v>23</v>
      </c>
      <c r="F35" s="17" t="s">
        <v>24</v>
      </c>
      <c r="G35" s="16" t="s">
        <v>25</v>
      </c>
      <c r="H35" s="35"/>
    </row>
    <row r="36" spans="2:8" x14ac:dyDescent="0.2">
      <c r="B36" s="1" t="s">
        <v>6</v>
      </c>
      <c r="C36" s="10">
        <f t="shared" ref="C36:G43" si="1">C23*C$13</f>
        <v>127.24140000000001</v>
      </c>
      <c r="D36" s="10">
        <f t="shared" si="1"/>
        <v>238.95419999999999</v>
      </c>
      <c r="E36" s="10">
        <f t="shared" si="1"/>
        <v>174.3656</v>
      </c>
      <c r="F36" s="10">
        <f t="shared" si="1"/>
        <v>12.4542</v>
      </c>
      <c r="G36" s="10">
        <f t="shared" si="1"/>
        <v>11.935599999999999</v>
      </c>
      <c r="H36" s="29"/>
    </row>
    <row r="37" spans="2:8" x14ac:dyDescent="0.2">
      <c r="B37" s="1" t="s">
        <v>28</v>
      </c>
      <c r="C37" s="10">
        <f t="shared" si="1"/>
        <v>217.85270000000003</v>
      </c>
      <c r="D37" s="10">
        <f t="shared" si="1"/>
        <v>199.12849999999997</v>
      </c>
      <c r="E37" s="10">
        <f t="shared" si="1"/>
        <v>102.568</v>
      </c>
      <c r="F37" s="10">
        <f t="shared" si="1"/>
        <v>12.4542</v>
      </c>
      <c r="G37" s="10">
        <f t="shared" si="1"/>
        <v>13.286799999999999</v>
      </c>
      <c r="H37" s="29"/>
    </row>
    <row r="38" spans="2:8" x14ac:dyDescent="0.2">
      <c r="B38" s="1" t="s">
        <v>27</v>
      </c>
      <c r="C38" s="10">
        <f t="shared" si="1"/>
        <v>198.5737</v>
      </c>
      <c r="D38" s="10">
        <f t="shared" si="1"/>
        <v>79.651399999999995</v>
      </c>
      <c r="E38" s="10">
        <f t="shared" si="1"/>
        <v>188.46869999999998</v>
      </c>
      <c r="F38" s="10">
        <f t="shared" si="1"/>
        <v>19.373200000000001</v>
      </c>
      <c r="G38" s="10">
        <f t="shared" si="1"/>
        <v>69.361599999999996</v>
      </c>
      <c r="H38" s="29"/>
    </row>
    <row r="39" spans="2:8" x14ac:dyDescent="0.2">
      <c r="B39" s="1" t="s">
        <v>29</v>
      </c>
      <c r="C39" s="10">
        <f t="shared" si="1"/>
        <v>179.29470000000001</v>
      </c>
      <c r="D39" s="10">
        <f t="shared" si="1"/>
        <v>173.03579999999999</v>
      </c>
      <c r="E39" s="10">
        <f t="shared" si="1"/>
        <v>220.52119999999996</v>
      </c>
      <c r="F39" s="10">
        <f t="shared" si="1"/>
        <v>15.5992</v>
      </c>
      <c r="G39" s="10">
        <f t="shared" si="1"/>
        <v>28.15</v>
      </c>
      <c r="H39" s="29"/>
    </row>
    <row r="40" spans="2:8" x14ac:dyDescent="0.2">
      <c r="B40" s="1" t="s">
        <v>30</v>
      </c>
      <c r="C40" s="10">
        <f t="shared" si="1"/>
        <v>258.33860000000004</v>
      </c>
      <c r="D40" s="10">
        <f t="shared" si="1"/>
        <v>93.384399999999999</v>
      </c>
      <c r="E40" s="10">
        <f t="shared" si="1"/>
        <v>91.029099999999985</v>
      </c>
      <c r="F40" s="10">
        <f t="shared" si="1"/>
        <v>14.467000000000001</v>
      </c>
      <c r="G40" s="10">
        <f t="shared" si="1"/>
        <v>20.267999999999997</v>
      </c>
      <c r="H40" s="29"/>
    </row>
    <row r="41" spans="2:8" x14ac:dyDescent="0.2">
      <c r="B41" s="1" t="s">
        <v>31</v>
      </c>
      <c r="C41" s="10">
        <f t="shared" si="1"/>
        <v>416.4264</v>
      </c>
      <c r="D41" s="10">
        <f t="shared" si="1"/>
        <v>212.86149999999998</v>
      </c>
      <c r="E41" s="10">
        <f t="shared" si="1"/>
        <v>194.87919999999997</v>
      </c>
      <c r="F41" s="10">
        <f t="shared" si="1"/>
        <v>17.2346</v>
      </c>
      <c r="G41" s="10">
        <f t="shared" si="1"/>
        <v>19.592399999999998</v>
      </c>
      <c r="H41" s="29"/>
    </row>
    <row r="42" spans="2:8" x14ac:dyDescent="0.2">
      <c r="B42" s="1" t="s">
        <v>32</v>
      </c>
      <c r="C42" s="10">
        <f t="shared" si="1"/>
        <v>237.1317</v>
      </c>
      <c r="D42" s="10">
        <f t="shared" si="1"/>
        <v>177.1557</v>
      </c>
      <c r="E42" s="10">
        <f t="shared" si="1"/>
        <v>89.747</v>
      </c>
      <c r="F42" s="10">
        <f t="shared" si="1"/>
        <v>14.5928</v>
      </c>
      <c r="G42" s="10">
        <f t="shared" si="1"/>
        <v>22.970399999999998</v>
      </c>
      <c r="H42" s="29"/>
    </row>
    <row r="43" spans="2:8" x14ac:dyDescent="0.2">
      <c r="B43" s="7" t="s">
        <v>33</v>
      </c>
      <c r="C43" s="10">
        <f t="shared" si="1"/>
        <v>293.04079999999999</v>
      </c>
      <c r="D43" s="10">
        <f t="shared" si="1"/>
        <v>199.12849999999997</v>
      </c>
      <c r="E43" s="10">
        <f t="shared" si="1"/>
        <v>219.23910000000001</v>
      </c>
      <c r="F43" s="10">
        <f t="shared" si="1"/>
        <v>19.6248</v>
      </c>
      <c r="G43" s="10">
        <f t="shared" si="1"/>
        <v>32.879199999999997</v>
      </c>
      <c r="H43" s="29"/>
    </row>
    <row r="44" spans="2:8" x14ac:dyDescent="0.2">
      <c r="B44" s="6"/>
    </row>
    <row r="45" spans="2:8" x14ac:dyDescent="0.2">
      <c r="B45" s="36" t="s">
        <v>89</v>
      </c>
      <c r="C45" s="17" t="s">
        <v>21</v>
      </c>
      <c r="D45" s="17" t="s">
        <v>22</v>
      </c>
      <c r="E45" s="17" t="s">
        <v>23</v>
      </c>
      <c r="F45" s="17" t="s">
        <v>24</v>
      </c>
      <c r="G45" s="16" t="s">
        <v>25</v>
      </c>
      <c r="H45" s="31" t="s">
        <v>88</v>
      </c>
    </row>
    <row r="46" spans="2:8" x14ac:dyDescent="0.2">
      <c r="B46" s="1" t="s">
        <v>31</v>
      </c>
      <c r="C46" s="10">
        <v>416.4264</v>
      </c>
      <c r="D46" s="10">
        <v>212.86149999999998</v>
      </c>
      <c r="E46" s="10">
        <v>194.87919999999997</v>
      </c>
      <c r="F46" s="10">
        <v>17.2346</v>
      </c>
      <c r="G46" s="10">
        <v>19.592399999999998</v>
      </c>
      <c r="H46" s="32">
        <f t="shared" ref="H46:H53" si="2">SUM(C46:G46)</f>
        <v>860.9941</v>
      </c>
    </row>
    <row r="47" spans="2:8" x14ac:dyDescent="0.2">
      <c r="B47" s="1" t="s">
        <v>33</v>
      </c>
      <c r="C47" s="10">
        <v>293.04079999999999</v>
      </c>
      <c r="D47" s="10">
        <v>199.12849999999997</v>
      </c>
      <c r="E47" s="10">
        <v>219.23910000000001</v>
      </c>
      <c r="F47" s="10">
        <v>19.6248</v>
      </c>
      <c r="G47" s="10">
        <v>32.879199999999997</v>
      </c>
      <c r="H47" s="32">
        <f t="shared" si="2"/>
        <v>763.91240000000005</v>
      </c>
    </row>
    <row r="48" spans="2:8" x14ac:dyDescent="0.2">
      <c r="B48" s="7" t="s">
        <v>29</v>
      </c>
      <c r="C48" s="10">
        <v>179.29470000000001</v>
      </c>
      <c r="D48" s="10">
        <v>173.03579999999999</v>
      </c>
      <c r="E48" s="10">
        <v>220.52119999999996</v>
      </c>
      <c r="F48" s="10">
        <v>15.5992</v>
      </c>
      <c r="G48" s="10">
        <v>28.15</v>
      </c>
      <c r="H48" s="32">
        <f t="shared" si="2"/>
        <v>616.60089999999991</v>
      </c>
    </row>
    <row r="49" spans="2:8" x14ac:dyDescent="0.2">
      <c r="B49" s="1" t="s">
        <v>6</v>
      </c>
      <c r="C49" s="10">
        <v>127.24140000000001</v>
      </c>
      <c r="D49" s="10">
        <v>238.95419999999999</v>
      </c>
      <c r="E49" s="10">
        <v>174.3656</v>
      </c>
      <c r="F49" s="10">
        <v>12.4542</v>
      </c>
      <c r="G49" s="10">
        <v>11.935599999999999</v>
      </c>
      <c r="H49" s="32">
        <f t="shared" si="2"/>
        <v>564.95100000000002</v>
      </c>
    </row>
    <row r="50" spans="2:8" x14ac:dyDescent="0.2">
      <c r="B50" s="1" t="s">
        <v>27</v>
      </c>
      <c r="C50" s="10">
        <v>198.5737</v>
      </c>
      <c r="D50" s="10">
        <v>79.651399999999995</v>
      </c>
      <c r="E50" s="10">
        <v>188.46869999999998</v>
      </c>
      <c r="F50" s="10">
        <v>19.373200000000001</v>
      </c>
      <c r="G50" s="10">
        <v>69.361599999999996</v>
      </c>
      <c r="H50" s="32">
        <f t="shared" si="2"/>
        <v>555.42859999999996</v>
      </c>
    </row>
    <row r="51" spans="2:8" x14ac:dyDescent="0.2">
      <c r="B51" s="1" t="s">
        <v>28</v>
      </c>
      <c r="C51" s="10">
        <v>217.85270000000003</v>
      </c>
      <c r="D51" s="10">
        <v>199.12849999999997</v>
      </c>
      <c r="E51" s="10">
        <v>102.568</v>
      </c>
      <c r="F51" s="10">
        <v>12.4542</v>
      </c>
      <c r="G51" s="10">
        <v>13.286799999999999</v>
      </c>
      <c r="H51" s="32">
        <f t="shared" si="2"/>
        <v>545.29020000000003</v>
      </c>
    </row>
    <row r="52" spans="2:8" x14ac:dyDescent="0.2">
      <c r="B52" s="1" t="s">
        <v>32</v>
      </c>
      <c r="C52" s="10">
        <v>237.1317</v>
      </c>
      <c r="D52" s="10">
        <v>177.1557</v>
      </c>
      <c r="E52" s="10">
        <v>89.747</v>
      </c>
      <c r="F52" s="10">
        <v>14.5928</v>
      </c>
      <c r="G52" s="10">
        <v>22.970399999999998</v>
      </c>
      <c r="H52" s="32">
        <f t="shared" si="2"/>
        <v>541.59760000000006</v>
      </c>
    </row>
    <row r="53" spans="2:8" x14ac:dyDescent="0.2">
      <c r="B53" s="1" t="s">
        <v>30</v>
      </c>
      <c r="C53" s="10">
        <v>258.33860000000004</v>
      </c>
      <c r="D53" s="10">
        <v>93.384399999999999</v>
      </c>
      <c r="E53" s="10">
        <v>91.029099999999985</v>
      </c>
      <c r="F53" s="10">
        <v>14.467000000000001</v>
      </c>
      <c r="G53" s="10">
        <v>20.267999999999997</v>
      </c>
      <c r="H53" s="32">
        <f t="shared" si="2"/>
        <v>477.4871</v>
      </c>
    </row>
    <row r="54" spans="2:8" x14ac:dyDescent="0.2">
      <c r="B54" s="30"/>
      <c r="C54" s="33"/>
      <c r="D54" s="33"/>
      <c r="E54" s="33"/>
      <c r="F54" s="33"/>
      <c r="G54" s="33"/>
      <c r="H54" s="34"/>
    </row>
    <row r="60" spans="2:8" x14ac:dyDescent="0.2">
      <c r="B60" t="s">
        <v>36</v>
      </c>
    </row>
    <row r="61" spans="2:8" x14ac:dyDescent="0.2">
      <c r="B61" s="19" t="s">
        <v>37</v>
      </c>
    </row>
    <row r="62" spans="2:8" x14ac:dyDescent="0.2">
      <c r="B62" s="19" t="s">
        <v>38</v>
      </c>
    </row>
    <row r="63" spans="2:8" x14ac:dyDescent="0.2">
      <c r="B63" s="19"/>
    </row>
    <row r="64" spans="2:8" x14ac:dyDescent="0.2">
      <c r="B64" s="15" t="s">
        <v>42</v>
      </c>
    </row>
    <row r="66" spans="2:2" x14ac:dyDescent="0.2">
      <c r="B66" t="s">
        <v>39</v>
      </c>
    </row>
    <row r="67" spans="2:2" x14ac:dyDescent="0.2">
      <c r="B67" s="19" t="s">
        <v>41</v>
      </c>
    </row>
    <row r="68" spans="2:2" x14ac:dyDescent="0.2">
      <c r="B68" s="19" t="s">
        <v>40</v>
      </c>
    </row>
  </sheetData>
  <autoFilter ref="B45:H53" xr:uid="{2C195A47-CDE4-C34D-BE53-3DF6318BF5BD}">
    <sortState xmlns:xlrd2="http://schemas.microsoft.com/office/spreadsheetml/2017/richdata2" ref="B46:H53">
      <sortCondition descending="1" ref="H45:H53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E24E1-7693-1243-B606-1A78D5496C66}">
  <dimension ref="B2:I41"/>
  <sheetViews>
    <sheetView showGridLines="0" workbookViewId="0">
      <selection activeCell="J56" sqref="J56"/>
    </sheetView>
  </sheetViews>
  <sheetFormatPr baseColWidth="10" defaultRowHeight="16" x14ac:dyDescent="0.2"/>
  <cols>
    <col min="2" max="2" width="22.33203125" bestFit="1" customWidth="1"/>
    <col min="3" max="3" width="11.6640625" bestFit="1" customWidth="1"/>
    <col min="4" max="5" width="13.1640625" bestFit="1" customWidth="1"/>
    <col min="6" max="7" width="12.5" bestFit="1" customWidth="1"/>
    <col min="8" max="8" width="7" bestFit="1" customWidth="1"/>
  </cols>
  <sheetData>
    <row r="2" spans="2:9" ht="17" thickBot="1" x14ac:dyDescent="0.25"/>
    <row r="3" spans="2:9" ht="17" thickBot="1" x14ac:dyDescent="0.25">
      <c r="D3" s="39">
        <v>0.39071398171979821</v>
      </c>
      <c r="E3" s="39">
        <v>0.27831708651683118</v>
      </c>
      <c r="F3" s="39">
        <v>0.25983422167278036</v>
      </c>
      <c r="G3" s="39">
        <v>2.5495004357254325E-2</v>
      </c>
      <c r="H3" s="48">
        <v>4.563970573333604E-2</v>
      </c>
      <c r="I3" s="49">
        <f>SUM(D3:H3)</f>
        <v>1</v>
      </c>
    </row>
    <row r="4" spans="2:9" x14ac:dyDescent="0.2">
      <c r="B4" s="40" t="s">
        <v>20</v>
      </c>
      <c r="C4" s="5" t="s">
        <v>44</v>
      </c>
      <c r="D4" s="16" t="s">
        <v>21</v>
      </c>
      <c r="E4" s="16" t="s">
        <v>22</v>
      </c>
      <c r="F4" s="16" t="s">
        <v>23</v>
      </c>
      <c r="G4" s="16" t="s">
        <v>24</v>
      </c>
      <c r="H4" s="16" t="s">
        <v>25</v>
      </c>
    </row>
    <row r="5" spans="2:9" x14ac:dyDescent="0.2">
      <c r="B5" s="40">
        <v>2019</v>
      </c>
      <c r="C5" s="10">
        <v>168.4</v>
      </c>
      <c r="D5" s="41">
        <f>C5*D$3</f>
        <v>65.796234521614025</v>
      </c>
      <c r="E5" s="41">
        <f t="shared" ref="E5:H5" si="0">D5*E$3</f>
        <v>18.312216295833764</v>
      </c>
      <c r="F5" s="41">
        <f t="shared" si="0"/>
        <v>4.7581404683315709</v>
      </c>
      <c r="G5" s="41">
        <f t="shared" si="0"/>
        <v>0.12130881197254154</v>
      </c>
      <c r="H5" s="41">
        <f t="shared" si="0"/>
        <v>5.5364984812873875E-3</v>
      </c>
    </row>
    <row r="6" spans="2:9" x14ac:dyDescent="0.2">
      <c r="B6" s="40">
        <v>2020</v>
      </c>
      <c r="C6" s="10">
        <v>236.1</v>
      </c>
      <c r="D6" s="41">
        <f t="shared" ref="D6:H6" si="1">C6*D$3</f>
        <v>92.247571084044353</v>
      </c>
      <c r="E6" s="41">
        <f t="shared" si="1"/>
        <v>25.674075222365506</v>
      </c>
      <c r="F6" s="41">
        <f t="shared" si="1"/>
        <v>6.6710033525717565</v>
      </c>
      <c r="G6" s="41">
        <f t="shared" si="1"/>
        <v>0.17007725954107514</v>
      </c>
      <c r="H6" s="41">
        <f t="shared" si="1"/>
        <v>7.7622760773868888E-3</v>
      </c>
    </row>
    <row r="7" spans="2:9" x14ac:dyDescent="0.2">
      <c r="B7" s="45">
        <v>2021</v>
      </c>
      <c r="C7" s="46">
        <v>296.89999999999998</v>
      </c>
      <c r="D7" s="47">
        <f t="shared" ref="D7:H7" si="2">C7*D$3</f>
        <v>116.00298117260807</v>
      </c>
      <c r="E7" s="47">
        <f t="shared" si="2"/>
        <v>32.285611747227101</v>
      </c>
      <c r="F7" s="47">
        <f t="shared" si="2"/>
        <v>8.3889067995703286</v>
      </c>
      <c r="G7" s="47">
        <f t="shared" si="2"/>
        <v>0.21387521540764595</v>
      </c>
      <c r="H7" s="47">
        <f t="shared" si="2"/>
        <v>9.7612018948588196E-3</v>
      </c>
    </row>
    <row r="8" spans="2:9" x14ac:dyDescent="0.2">
      <c r="B8" s="40">
        <v>2022</v>
      </c>
      <c r="C8" s="10">
        <v>407.9</v>
      </c>
      <c r="D8" s="41">
        <f t="shared" ref="D8:H8" si="3">C8*D$3</f>
        <v>159.37223314350567</v>
      </c>
      <c r="E8" s="41">
        <f t="shared" si="3"/>
        <v>44.356015600181657</v>
      </c>
      <c r="F8" s="41">
        <f t="shared" si="3"/>
        <v>11.525210789978905</v>
      </c>
      <c r="G8" s="41">
        <f t="shared" si="3"/>
        <v>0.29383529930878677</v>
      </c>
      <c r="H8" s="41">
        <f t="shared" si="3"/>
        <v>1.3410556594519746E-2</v>
      </c>
    </row>
    <row r="9" spans="2:9" x14ac:dyDescent="0.2">
      <c r="B9" s="40">
        <v>2023</v>
      </c>
      <c r="C9" s="10">
        <v>535.20000000000005</v>
      </c>
      <c r="D9" s="41">
        <f t="shared" ref="D9:H9" si="4">C9*D$3</f>
        <v>209.11012301643601</v>
      </c>
      <c r="E9" s="41">
        <f t="shared" si="4"/>
        <v>58.198920199110631</v>
      </c>
      <c r="F9" s="41">
        <f t="shared" si="4"/>
        <v>15.122071132132167</v>
      </c>
      <c r="G9" s="41">
        <f t="shared" si="4"/>
        <v>0.38553726940441946</v>
      </c>
      <c r="H9" s="41">
        <f t="shared" si="4"/>
        <v>1.7595807524851605E-2</v>
      </c>
    </row>
    <row r="10" spans="2:9" x14ac:dyDescent="0.2">
      <c r="B10" s="40">
        <v>2024</v>
      </c>
      <c r="C10" s="10">
        <v>718.2</v>
      </c>
      <c r="D10" s="41">
        <f t="shared" ref="D10:H10" si="5">C10*D$3</f>
        <v>280.61078167115909</v>
      </c>
      <c r="E10" s="41">
        <f t="shared" si="5"/>
        <v>78.098775199927616</v>
      </c>
      <c r="F10" s="41">
        <f t="shared" si="5"/>
        <v>20.292734467670634</v>
      </c>
      <c r="G10" s="41">
        <f t="shared" si="5"/>
        <v>0.51736335367386788</v>
      </c>
      <c r="H10" s="41">
        <f t="shared" si="5"/>
        <v>2.361231121888719E-2</v>
      </c>
    </row>
    <row r="11" spans="2:9" x14ac:dyDescent="0.2">
      <c r="B11" s="40">
        <v>2025</v>
      </c>
      <c r="C11" s="10">
        <v>1025.3</v>
      </c>
      <c r="D11" s="41">
        <f t="shared" ref="D11:H11" si="6">C11*D$3</f>
        <v>400.5990454573091</v>
      </c>
      <c r="E11" s="41">
        <f t="shared" si="6"/>
        <v>111.49355919310189</v>
      </c>
      <c r="F11" s="41">
        <f t="shared" si="6"/>
        <v>28.969842174467693</v>
      </c>
      <c r="G11" s="41">
        <f t="shared" si="6"/>
        <v>0.73858625246702392</v>
      </c>
      <c r="H11" s="41">
        <f t="shared" si="6"/>
        <v>3.370885922128241E-2</v>
      </c>
    </row>
    <row r="12" spans="2:9" x14ac:dyDescent="0.2">
      <c r="B12" s="40">
        <v>2026</v>
      </c>
      <c r="C12" s="10">
        <v>1396.6</v>
      </c>
      <c r="D12" s="41">
        <f t="shared" ref="D12:H12" si="7">C12*D$3</f>
        <v>545.6711468698702</v>
      </c>
      <c r="E12" s="41">
        <f t="shared" si="7"/>
        <v>151.86960379312015</v>
      </c>
      <c r="F12" s="41">
        <f t="shared" si="7"/>
        <v>39.460920297338909</v>
      </c>
      <c r="G12" s="41">
        <f t="shared" si="7"/>
        <v>1.0060563349219211</v>
      </c>
      <c r="H12" s="41">
        <f t="shared" si="7"/>
        <v>4.591611507699505E-2</v>
      </c>
    </row>
    <row r="13" spans="2:9" x14ac:dyDescent="0.2">
      <c r="B13" s="40">
        <v>2027</v>
      </c>
      <c r="C13" s="10">
        <v>1940.1</v>
      </c>
      <c r="D13" s="41">
        <f t="shared" ref="D13:H13" si="8">C13*D$3</f>
        <v>758.02419593458046</v>
      </c>
      <c r="E13" s="41">
        <f t="shared" si="8"/>
        <v>210.97108572177601</v>
      </c>
      <c r="F13" s="41">
        <f t="shared" si="8"/>
        <v>54.817507853979095</v>
      </c>
      <c r="G13" s="41">
        <f t="shared" si="8"/>
        <v>1.3975726015910201</v>
      </c>
      <c r="H13" s="41">
        <f t="shared" si="8"/>
        <v>6.3784802277587052E-2</v>
      </c>
    </row>
    <row r="14" spans="2:9" x14ac:dyDescent="0.2">
      <c r="B14" s="40">
        <v>2028</v>
      </c>
      <c r="C14" s="10">
        <v>2716</v>
      </c>
      <c r="D14" s="41">
        <f t="shared" ref="D14:H14" si="9">C14*D$3</f>
        <v>1061.1791743509718</v>
      </c>
      <c r="E14" s="41">
        <f t="shared" si="9"/>
        <v>295.34429607769891</v>
      </c>
      <c r="F14" s="41">
        <f t="shared" si="9"/>
        <v>76.740555296844093</v>
      </c>
      <c r="G14" s="41">
        <f t="shared" si="9"/>
        <v>1.9565007916711565</v>
      </c>
      <c r="H14" s="41">
        <f t="shared" si="9"/>
        <v>8.929412039891059E-2</v>
      </c>
    </row>
    <row r="15" spans="2:9" x14ac:dyDescent="0.2">
      <c r="B15" s="40">
        <v>2029</v>
      </c>
      <c r="C15" s="10">
        <v>3633.2</v>
      </c>
      <c r="D15" s="41">
        <f t="shared" ref="D15:H15" si="10">C15*D$3</f>
        <v>1419.5420383843707</v>
      </c>
      <c r="E15" s="41">
        <f t="shared" si="10"/>
        <v>395.0828043113018</v>
      </c>
      <c r="F15" s="41">
        <f t="shared" si="10"/>
        <v>102.65603295452649</v>
      </c>
      <c r="G15" s="41">
        <f t="shared" si="10"/>
        <v>2.6172160074740964</v>
      </c>
      <c r="H15" s="41">
        <f t="shared" si="10"/>
        <v>0.11944896842169438</v>
      </c>
    </row>
    <row r="16" spans="2:9" x14ac:dyDescent="0.2">
      <c r="B16" s="40">
        <v>2030</v>
      </c>
      <c r="C16" s="10">
        <v>4831.5</v>
      </c>
      <c r="D16" s="41">
        <f t="shared" ref="D16:H16" si="11">C16*D$3</f>
        <v>1887.734602679205</v>
      </c>
      <c r="E16" s="41">
        <f t="shared" si="11"/>
        <v>525.38879473468421</v>
      </c>
      <c r="F16" s="41">
        <f t="shared" si="11"/>
        <v>136.51398855548683</v>
      </c>
      <c r="G16" s="41">
        <f t="shared" si="11"/>
        <v>3.480424733048304</v>
      </c>
      <c r="H16" s="41">
        <f t="shared" si="11"/>
        <v>0.15884556064334923</v>
      </c>
    </row>
    <row r="19" spans="2:8" x14ac:dyDescent="0.2">
      <c r="B19" s="6" t="s">
        <v>26</v>
      </c>
    </row>
    <row r="20" spans="2:8" x14ac:dyDescent="0.2">
      <c r="B20" s="43"/>
      <c r="C20" s="43"/>
      <c r="D20" s="17" t="s">
        <v>21</v>
      </c>
      <c r="E20" s="17" t="s">
        <v>22</v>
      </c>
      <c r="F20" s="17" t="s">
        <v>23</v>
      </c>
      <c r="G20" s="17" t="s">
        <v>24</v>
      </c>
      <c r="H20" s="17" t="s">
        <v>25</v>
      </c>
    </row>
    <row r="21" spans="2:8" x14ac:dyDescent="0.2">
      <c r="B21" s="40" t="s">
        <v>6</v>
      </c>
      <c r="C21" s="40"/>
      <c r="D21" s="8">
        <v>6.6000000000000003E-2</v>
      </c>
      <c r="E21" s="8">
        <v>0.17399999999999999</v>
      </c>
      <c r="F21" s="8">
        <v>0.13600000000000001</v>
      </c>
      <c r="G21" s="8">
        <v>9.9000000000000005E-2</v>
      </c>
      <c r="H21" s="8">
        <v>5.2999999999999999E-2</v>
      </c>
    </row>
    <row r="22" spans="2:8" x14ac:dyDescent="0.2">
      <c r="B22" s="40" t="s">
        <v>28</v>
      </c>
      <c r="C22" s="40"/>
      <c r="D22" s="8">
        <v>0.113</v>
      </c>
      <c r="E22" s="8">
        <v>0.14499999999999999</v>
      </c>
      <c r="F22" s="8">
        <v>0.08</v>
      </c>
      <c r="G22" s="8">
        <v>9.9000000000000005E-2</v>
      </c>
      <c r="H22" s="8">
        <v>5.8999999999999997E-2</v>
      </c>
    </row>
    <row r="23" spans="2:8" x14ac:dyDescent="0.2">
      <c r="B23" s="40" t="s">
        <v>27</v>
      </c>
      <c r="C23" s="40"/>
      <c r="D23" s="8">
        <v>0.10299999999999999</v>
      </c>
      <c r="E23" s="8">
        <v>5.8000000000000003E-2</v>
      </c>
      <c r="F23" s="8">
        <v>0.14699999999999999</v>
      </c>
      <c r="G23" s="8">
        <v>0.154</v>
      </c>
      <c r="H23" s="8">
        <v>0.308</v>
      </c>
    </row>
    <row r="24" spans="2:8" x14ac:dyDescent="0.2">
      <c r="B24" s="40" t="s">
        <v>29</v>
      </c>
      <c r="C24" s="40"/>
      <c r="D24" s="8">
        <v>9.2999999999999999E-2</v>
      </c>
      <c r="E24" s="8">
        <v>0.126</v>
      </c>
      <c r="F24" s="8">
        <v>0.17199999999999999</v>
      </c>
      <c r="G24" s="8">
        <v>0.124</v>
      </c>
      <c r="H24" s="8">
        <v>0.125</v>
      </c>
    </row>
    <row r="25" spans="2:8" x14ac:dyDescent="0.2">
      <c r="B25" s="40" t="s">
        <v>30</v>
      </c>
      <c r="C25" s="40"/>
      <c r="D25" s="8">
        <v>0.13400000000000001</v>
      </c>
      <c r="E25" s="8">
        <v>6.8000000000000005E-2</v>
      </c>
      <c r="F25" s="8">
        <v>7.0999999999999994E-2</v>
      </c>
      <c r="G25" s="8">
        <v>0.115</v>
      </c>
      <c r="H25" s="8">
        <v>0.09</v>
      </c>
    </row>
    <row r="26" spans="2:8" x14ac:dyDescent="0.2">
      <c r="B26" s="40" t="s">
        <v>31</v>
      </c>
      <c r="C26" s="40"/>
      <c r="D26" s="8">
        <v>0.216</v>
      </c>
      <c r="E26" s="8">
        <v>0.155</v>
      </c>
      <c r="F26" s="8">
        <v>0.152</v>
      </c>
      <c r="G26" s="8">
        <v>0.13700000000000001</v>
      </c>
      <c r="H26" s="8">
        <v>8.6999999999999994E-2</v>
      </c>
    </row>
    <row r="27" spans="2:8" x14ac:dyDescent="0.2">
      <c r="B27" s="40" t="s">
        <v>32</v>
      </c>
      <c r="C27" s="40"/>
      <c r="D27" s="8">
        <v>0.123</v>
      </c>
      <c r="E27" s="8">
        <v>0.129</v>
      </c>
      <c r="F27" s="8">
        <v>7.0000000000000007E-2</v>
      </c>
      <c r="G27" s="8">
        <v>0.11600000000000001</v>
      </c>
      <c r="H27" s="8">
        <v>0.10199999999999999</v>
      </c>
    </row>
    <row r="28" spans="2:8" x14ac:dyDescent="0.2">
      <c r="B28" s="42" t="s">
        <v>33</v>
      </c>
      <c r="C28" s="42"/>
      <c r="D28" s="8">
        <v>0.152</v>
      </c>
      <c r="E28" s="8">
        <v>0.14499999999999999</v>
      </c>
      <c r="F28" s="8">
        <v>0.17100000000000001</v>
      </c>
      <c r="G28" s="8">
        <v>0.156</v>
      </c>
      <c r="H28" s="8">
        <v>0.14599999999999999</v>
      </c>
    </row>
    <row r="32" spans="2:8" x14ac:dyDescent="0.2">
      <c r="B32" s="6" t="s">
        <v>26</v>
      </c>
    </row>
    <row r="33" spans="2:9" x14ac:dyDescent="0.2">
      <c r="B33" s="43"/>
      <c r="C33" s="43"/>
      <c r="D33" s="17" t="s">
        <v>21</v>
      </c>
      <c r="E33" s="17" t="s">
        <v>22</v>
      </c>
      <c r="F33" s="17" t="s">
        <v>23</v>
      </c>
      <c r="G33" s="17" t="s">
        <v>24</v>
      </c>
      <c r="H33" s="16" t="s">
        <v>25</v>
      </c>
      <c r="I33" s="31" t="s">
        <v>88</v>
      </c>
    </row>
    <row r="34" spans="2:9" x14ac:dyDescent="0.2">
      <c r="B34" s="40" t="s">
        <v>6</v>
      </c>
      <c r="C34" s="40"/>
      <c r="D34" s="44">
        <f>D21*D$7</f>
        <v>7.6561967573921335</v>
      </c>
      <c r="E34" s="44">
        <f t="shared" ref="E34:H34" si="12">E21*E$7</f>
        <v>5.6176964440175148</v>
      </c>
      <c r="F34" s="44">
        <f t="shared" si="12"/>
        <v>1.1408913247415648</v>
      </c>
      <c r="G34" s="44">
        <f t="shared" si="12"/>
        <v>2.1173646325356951E-2</v>
      </c>
      <c r="H34" s="44">
        <f t="shared" si="12"/>
        <v>5.1734370042751739E-4</v>
      </c>
      <c r="I34" s="32">
        <f>SUM(D34:H34)</f>
        <v>14.436475516176998</v>
      </c>
    </row>
    <row r="35" spans="2:9" x14ac:dyDescent="0.2">
      <c r="B35" s="40" t="s">
        <v>28</v>
      </c>
      <c r="C35" s="40"/>
      <c r="D35" s="44">
        <f t="shared" ref="D35:H41" si="13">D22*D$7</f>
        <v>13.108336872504713</v>
      </c>
      <c r="E35" s="44">
        <f t="shared" si="13"/>
        <v>4.6814137033479293</v>
      </c>
      <c r="F35" s="44">
        <f t="shared" si="13"/>
        <v>0.67111254396562625</v>
      </c>
      <c r="G35" s="44">
        <f t="shared" si="13"/>
        <v>2.1173646325356951E-2</v>
      </c>
      <c r="H35" s="44">
        <f t="shared" si="13"/>
        <v>5.7591091179667029E-4</v>
      </c>
      <c r="I35" s="32">
        <f t="shared" ref="I35:I41" si="14">SUM(D35:H35)</f>
        <v>18.482612677055425</v>
      </c>
    </row>
    <row r="36" spans="2:9" x14ac:dyDescent="0.2">
      <c r="B36" s="40" t="s">
        <v>27</v>
      </c>
      <c r="C36" s="40"/>
      <c r="D36" s="44">
        <f t="shared" si="13"/>
        <v>11.948307060778632</v>
      </c>
      <c r="E36" s="44">
        <f t="shared" si="13"/>
        <v>1.8725654813391719</v>
      </c>
      <c r="F36" s="44">
        <f t="shared" si="13"/>
        <v>1.2331692995368382</v>
      </c>
      <c r="G36" s="44">
        <f t="shared" si="13"/>
        <v>3.2936783172777477E-2</v>
      </c>
      <c r="H36" s="44">
        <f t="shared" si="13"/>
        <v>3.0064501836165164E-3</v>
      </c>
      <c r="I36" s="32">
        <f t="shared" si="14"/>
        <v>15.089985075011036</v>
      </c>
    </row>
    <row r="37" spans="2:9" x14ac:dyDescent="0.2">
      <c r="B37" s="40" t="s">
        <v>29</v>
      </c>
      <c r="C37" s="40"/>
      <c r="D37" s="44">
        <f t="shared" si="13"/>
        <v>10.78827724905255</v>
      </c>
      <c r="E37" s="44">
        <f t="shared" si="13"/>
        <v>4.0679870801506146</v>
      </c>
      <c r="F37" s="44">
        <f t="shared" si="13"/>
        <v>1.4428919695260964</v>
      </c>
      <c r="G37" s="44">
        <f t="shared" si="13"/>
        <v>2.6520526710548099E-2</v>
      </c>
      <c r="H37" s="44">
        <f t="shared" si="13"/>
        <v>1.2201502368573524E-3</v>
      </c>
      <c r="I37" s="32">
        <f t="shared" si="14"/>
        <v>16.326896975676668</v>
      </c>
    </row>
    <row r="38" spans="2:9" x14ac:dyDescent="0.2">
      <c r="B38" s="40" t="s">
        <v>30</v>
      </c>
      <c r="C38" s="40"/>
      <c r="D38" s="44">
        <f t="shared" si="13"/>
        <v>15.544399477129483</v>
      </c>
      <c r="E38" s="44">
        <f t="shared" si="13"/>
        <v>2.1954215988114432</v>
      </c>
      <c r="F38" s="44">
        <f t="shared" si="13"/>
        <v>0.59561238276949324</v>
      </c>
      <c r="G38" s="44">
        <f t="shared" si="13"/>
        <v>2.4595649771879287E-2</v>
      </c>
      <c r="H38" s="44">
        <f t="shared" si="13"/>
        <v>8.7850817053729377E-4</v>
      </c>
      <c r="I38" s="32">
        <f t="shared" si="14"/>
        <v>18.360907616652835</v>
      </c>
    </row>
    <row r="39" spans="2:9" x14ac:dyDescent="0.2">
      <c r="B39" s="40" t="s">
        <v>31</v>
      </c>
      <c r="C39" s="40"/>
      <c r="D39" s="44">
        <f t="shared" si="13"/>
        <v>25.056643933283343</v>
      </c>
      <c r="E39" s="44">
        <f t="shared" si="13"/>
        <v>5.004269820820201</v>
      </c>
      <c r="F39" s="44">
        <f t="shared" si="13"/>
        <v>1.2751138335346899</v>
      </c>
      <c r="G39" s="44">
        <f t="shared" si="13"/>
        <v>2.9300904510847499E-2</v>
      </c>
      <c r="H39" s="44">
        <f t="shared" si="13"/>
        <v>8.4922456485271721E-4</v>
      </c>
      <c r="I39" s="32">
        <f t="shared" si="14"/>
        <v>31.366177716713935</v>
      </c>
    </row>
    <row r="40" spans="2:9" x14ac:dyDescent="0.2">
      <c r="B40" s="40" t="s">
        <v>32</v>
      </c>
      <c r="C40" s="40"/>
      <c r="D40" s="44">
        <f t="shared" si="13"/>
        <v>14.268366684230793</v>
      </c>
      <c r="E40" s="44">
        <f t="shared" si="13"/>
        <v>4.1648439153922965</v>
      </c>
      <c r="F40" s="44">
        <f t="shared" si="13"/>
        <v>0.58722347596992308</v>
      </c>
      <c r="G40" s="44">
        <f t="shared" si="13"/>
        <v>2.4809524987286932E-2</v>
      </c>
      <c r="H40" s="44">
        <f t="shared" si="13"/>
        <v>9.9564259327559958E-4</v>
      </c>
      <c r="I40" s="32">
        <f t="shared" si="14"/>
        <v>19.046239243173574</v>
      </c>
    </row>
    <row r="41" spans="2:9" x14ac:dyDescent="0.2">
      <c r="B41" s="42" t="s">
        <v>33</v>
      </c>
      <c r="C41" s="42"/>
      <c r="D41" s="44">
        <f t="shared" si="13"/>
        <v>17.632453138236428</v>
      </c>
      <c r="E41" s="44">
        <f t="shared" si="13"/>
        <v>4.6814137033479293</v>
      </c>
      <c r="F41" s="44">
        <f t="shared" si="13"/>
        <v>1.4345030627265263</v>
      </c>
      <c r="G41" s="44">
        <f t="shared" si="13"/>
        <v>3.3364533603592768E-2</v>
      </c>
      <c r="H41" s="44">
        <f t="shared" si="13"/>
        <v>1.4251354766493876E-3</v>
      </c>
      <c r="I41" s="32">
        <f t="shared" si="14"/>
        <v>23.783159573391124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99933-1275-9542-8CA8-304ADF65B0BB}">
  <dimension ref="B3:G17"/>
  <sheetViews>
    <sheetView workbookViewId="0">
      <selection activeCell="C16" sqref="C16"/>
    </sheetView>
  </sheetViews>
  <sheetFormatPr baseColWidth="10" defaultRowHeight="16" x14ac:dyDescent="0.2"/>
  <cols>
    <col min="1" max="1" width="5" customWidth="1"/>
    <col min="2" max="2" width="12.5" customWidth="1"/>
    <col min="3" max="3" width="17.5" bestFit="1" customWidth="1"/>
    <col min="4" max="4" width="9.33203125" customWidth="1"/>
    <col min="5" max="5" width="18.33203125" bestFit="1" customWidth="1"/>
    <col min="6" max="6" width="12.1640625" customWidth="1"/>
    <col min="7" max="7" width="9.1640625" customWidth="1"/>
  </cols>
  <sheetData>
    <row r="3" spans="2:7" x14ac:dyDescent="0.2">
      <c r="C3" s="20" t="s">
        <v>0</v>
      </c>
      <c r="D3" s="21"/>
      <c r="E3" s="21"/>
      <c r="F3" s="21"/>
      <c r="G3" s="21"/>
    </row>
    <row r="4" spans="2:7" x14ac:dyDescent="0.2">
      <c r="C4" s="21"/>
      <c r="D4" s="21"/>
      <c r="E4" s="21"/>
      <c r="F4" s="21"/>
      <c r="G4" s="21"/>
    </row>
    <row r="5" spans="2:7" ht="28" x14ac:dyDescent="0.2">
      <c r="C5" s="22" t="s">
        <v>1</v>
      </c>
      <c r="D5" s="23" t="s">
        <v>2</v>
      </c>
      <c r="E5" s="23" t="s">
        <v>3</v>
      </c>
      <c r="F5" s="23" t="s">
        <v>4</v>
      </c>
      <c r="G5" s="23" t="s">
        <v>5</v>
      </c>
    </row>
    <row r="6" spans="2:7" x14ac:dyDescent="0.2">
      <c r="B6" s="51" t="s">
        <v>43</v>
      </c>
      <c r="C6" s="14" t="s">
        <v>7</v>
      </c>
      <c r="D6" s="14">
        <v>87</v>
      </c>
      <c r="E6" s="14">
        <v>27</v>
      </c>
      <c r="F6" s="14"/>
      <c r="G6" s="14">
        <v>50</v>
      </c>
    </row>
    <row r="7" spans="2:7" x14ac:dyDescent="0.2">
      <c r="B7" s="51"/>
      <c r="C7" s="14" t="s">
        <v>8</v>
      </c>
      <c r="D7" s="14">
        <v>322</v>
      </c>
      <c r="E7" s="14" t="s">
        <v>9</v>
      </c>
      <c r="F7" s="14"/>
      <c r="G7" s="14">
        <v>60</v>
      </c>
    </row>
    <row r="8" spans="2:7" x14ac:dyDescent="0.2">
      <c r="B8" s="51"/>
      <c r="C8" s="14" t="s">
        <v>10</v>
      </c>
      <c r="D8" s="14">
        <v>200</v>
      </c>
      <c r="E8" s="14">
        <v>7300</v>
      </c>
      <c r="F8" s="14"/>
      <c r="G8" s="14">
        <v>5738</v>
      </c>
    </row>
    <row r="9" spans="2:7" x14ac:dyDescent="0.2">
      <c r="B9" s="51"/>
      <c r="C9" s="14" t="s">
        <v>11</v>
      </c>
      <c r="D9" s="14">
        <v>200</v>
      </c>
      <c r="E9" s="14">
        <v>30000</v>
      </c>
      <c r="F9" s="14"/>
      <c r="G9" s="14">
        <v>1030</v>
      </c>
    </row>
    <row r="10" spans="2:7" x14ac:dyDescent="0.2">
      <c r="B10" s="51"/>
      <c r="C10" s="14" t="s">
        <v>12</v>
      </c>
      <c r="D10" s="14"/>
      <c r="E10" s="14" t="s">
        <v>9</v>
      </c>
      <c r="F10" s="14"/>
      <c r="G10" s="14" t="s">
        <v>9</v>
      </c>
    </row>
    <row r="11" spans="2:7" x14ac:dyDescent="0.2">
      <c r="B11" s="51"/>
      <c r="C11" s="14" t="s">
        <v>13</v>
      </c>
      <c r="D11" s="14"/>
      <c r="E11" s="14">
        <v>1800</v>
      </c>
      <c r="F11" s="14"/>
      <c r="G11" s="14">
        <v>1102</v>
      </c>
    </row>
    <row r="12" spans="2:7" x14ac:dyDescent="0.2">
      <c r="B12" s="51" t="s">
        <v>21</v>
      </c>
      <c r="C12" s="14" t="s">
        <v>15</v>
      </c>
      <c r="D12" s="14"/>
      <c r="E12" s="14">
        <v>1900</v>
      </c>
      <c r="F12" s="14"/>
      <c r="G12" s="14">
        <v>4811</v>
      </c>
    </row>
    <row r="13" spans="2:7" x14ac:dyDescent="0.2">
      <c r="B13" s="51"/>
      <c r="C13" s="14" t="s">
        <v>16</v>
      </c>
      <c r="D13" s="14"/>
      <c r="E13" s="14">
        <v>755</v>
      </c>
      <c r="F13" s="14"/>
      <c r="G13" s="14">
        <v>3183</v>
      </c>
    </row>
    <row r="14" spans="2:7" x14ac:dyDescent="0.2">
      <c r="B14" s="51"/>
      <c r="C14" s="14" t="s">
        <v>17</v>
      </c>
      <c r="D14" s="14"/>
      <c r="E14" s="14">
        <v>1600</v>
      </c>
      <c r="F14" s="14"/>
      <c r="G14" s="14">
        <v>6257</v>
      </c>
    </row>
    <row r="15" spans="2:7" x14ac:dyDescent="0.2">
      <c r="B15" s="51"/>
      <c r="C15" s="14" t="s">
        <v>98</v>
      </c>
      <c r="D15" s="14"/>
      <c r="E15" s="14"/>
      <c r="F15" s="14"/>
      <c r="G15" s="14"/>
    </row>
    <row r="16" spans="2:7" x14ac:dyDescent="0.2">
      <c r="B16" s="51" t="s">
        <v>22</v>
      </c>
      <c r="C16" s="14" t="s">
        <v>14</v>
      </c>
      <c r="D16" s="14"/>
      <c r="E16" s="14">
        <v>6090</v>
      </c>
      <c r="F16" s="14"/>
      <c r="G16" s="14">
        <v>33082</v>
      </c>
    </row>
    <row r="17" spans="2:7" ht="34" customHeight="1" x14ac:dyDescent="0.2">
      <c r="B17" s="51"/>
      <c r="C17" s="14" t="s">
        <v>18</v>
      </c>
      <c r="D17" s="14"/>
      <c r="E17" s="14">
        <v>550</v>
      </c>
      <c r="F17" s="14"/>
      <c r="G17" s="14">
        <v>2112</v>
      </c>
    </row>
  </sheetData>
  <mergeCells count="3">
    <mergeCell ref="B6:B11"/>
    <mergeCell ref="B12:B15"/>
    <mergeCell ref="B16:B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38E8-959C-104C-82D4-C3BFE01D5DEA}">
  <dimension ref="B2:D19"/>
  <sheetViews>
    <sheetView workbookViewId="0">
      <selection activeCell="C9" sqref="C9"/>
    </sheetView>
  </sheetViews>
  <sheetFormatPr baseColWidth="10" defaultRowHeight="16" x14ac:dyDescent="0.2"/>
  <cols>
    <col min="2" max="2" width="19" customWidth="1"/>
    <col min="3" max="3" width="14.33203125" bestFit="1" customWidth="1"/>
    <col min="4" max="4" width="105.1640625" bestFit="1" customWidth="1"/>
  </cols>
  <sheetData>
    <row r="2" spans="2:4" x14ac:dyDescent="0.2">
      <c r="B2" s="2" t="s">
        <v>49</v>
      </c>
    </row>
    <row r="3" spans="2:4" x14ac:dyDescent="0.2">
      <c r="B3" s="2" t="s">
        <v>51</v>
      </c>
    </row>
    <row r="4" spans="2:4" ht="17" thickBot="1" x14ac:dyDescent="0.25"/>
    <row r="5" spans="2:4" ht="18" thickBot="1" x14ac:dyDescent="0.25">
      <c r="B5" s="24" t="s">
        <v>52</v>
      </c>
      <c r="C5" s="25" t="s">
        <v>53</v>
      </c>
      <c r="D5" s="25" t="s">
        <v>54</v>
      </c>
    </row>
    <row r="6" spans="2:4" ht="18" thickBot="1" x14ac:dyDescent="0.25">
      <c r="B6" s="26" t="s">
        <v>55</v>
      </c>
      <c r="C6" s="27" t="s">
        <v>56</v>
      </c>
      <c r="D6" s="27" t="s">
        <v>57</v>
      </c>
    </row>
    <row r="7" spans="2:4" ht="18" thickBot="1" x14ac:dyDescent="0.25">
      <c r="B7" s="26" t="s">
        <v>58</v>
      </c>
      <c r="C7" s="27" t="s">
        <v>59</v>
      </c>
      <c r="D7" s="27" t="s">
        <v>60</v>
      </c>
    </row>
    <row r="8" spans="2:4" ht="35" thickBot="1" x14ac:dyDescent="0.25">
      <c r="B8" s="26" t="s">
        <v>61</v>
      </c>
      <c r="C8" s="27" t="s">
        <v>62</v>
      </c>
      <c r="D8" s="27" t="s">
        <v>63</v>
      </c>
    </row>
    <row r="9" spans="2:4" ht="18" thickBot="1" x14ac:dyDescent="0.25">
      <c r="B9" s="26" t="s">
        <v>64</v>
      </c>
      <c r="C9" s="27" t="s">
        <v>65</v>
      </c>
      <c r="D9" s="27" t="s">
        <v>66</v>
      </c>
    </row>
    <row r="10" spans="2:4" ht="35" thickBot="1" x14ac:dyDescent="0.25">
      <c r="B10" s="26" t="s">
        <v>67</v>
      </c>
      <c r="C10" s="27" t="s">
        <v>68</v>
      </c>
      <c r="D10" s="27" t="s">
        <v>69</v>
      </c>
    </row>
    <row r="11" spans="2:4" ht="18" thickBot="1" x14ac:dyDescent="0.25">
      <c r="B11" s="52" t="s">
        <v>70</v>
      </c>
      <c r="C11" s="52" t="s">
        <v>71</v>
      </c>
      <c r="D11" s="28" t="s">
        <v>72</v>
      </c>
    </row>
    <row r="12" spans="2:4" ht="18" thickBot="1" x14ac:dyDescent="0.25">
      <c r="B12" s="53"/>
      <c r="C12" s="53"/>
      <c r="D12" s="28" t="s">
        <v>73</v>
      </c>
    </row>
    <row r="13" spans="2:4" ht="18" thickBot="1" x14ac:dyDescent="0.25">
      <c r="B13" s="26" t="s">
        <v>74</v>
      </c>
      <c r="C13" s="27" t="s">
        <v>75</v>
      </c>
      <c r="D13" s="28" t="s">
        <v>76</v>
      </c>
    </row>
    <row r="14" spans="2:4" ht="35" thickBot="1" x14ac:dyDescent="0.25">
      <c r="B14" s="26" t="s">
        <v>77</v>
      </c>
      <c r="C14" s="27" t="s">
        <v>78</v>
      </c>
      <c r="D14" s="27" t="s">
        <v>79</v>
      </c>
    </row>
    <row r="15" spans="2:4" ht="35" thickBot="1" x14ac:dyDescent="0.25">
      <c r="B15" s="26" t="s">
        <v>80</v>
      </c>
      <c r="C15" s="27" t="s">
        <v>81</v>
      </c>
      <c r="D15" s="27" t="s">
        <v>82</v>
      </c>
    </row>
    <row r="16" spans="2:4" ht="18" thickBot="1" x14ac:dyDescent="0.25">
      <c r="B16" s="52" t="s">
        <v>83</v>
      </c>
      <c r="C16" s="52" t="s">
        <v>84</v>
      </c>
      <c r="D16" s="27" t="s">
        <v>85</v>
      </c>
    </row>
    <row r="17" spans="2:4" ht="18" thickBot="1" x14ac:dyDescent="0.25">
      <c r="B17" s="54"/>
      <c r="C17" s="54"/>
      <c r="D17" s="27" t="s">
        <v>86</v>
      </c>
    </row>
    <row r="18" spans="2:4" ht="18" thickBot="1" x14ac:dyDescent="0.25">
      <c r="B18" s="53"/>
      <c r="C18" s="53"/>
      <c r="D18" s="28" t="s">
        <v>87</v>
      </c>
    </row>
    <row r="19" spans="2:4" ht="18" thickBot="1" x14ac:dyDescent="0.25">
      <c r="B19" s="50" t="s">
        <v>95</v>
      </c>
      <c r="C19" s="27" t="s">
        <v>96</v>
      </c>
      <c r="D19" s="27" t="s">
        <v>97</v>
      </c>
    </row>
  </sheetData>
  <mergeCells count="4">
    <mergeCell ref="B11:B12"/>
    <mergeCell ref="C11:C12"/>
    <mergeCell ref="C16:C18"/>
    <mergeCell ref="B16:B18"/>
  </mergeCells>
  <hyperlinks>
    <hyperlink ref="D11" r:id="rId1" xr:uid="{0B2573D0-7154-0346-8A1C-E4BEEAC88EB4}"/>
    <hyperlink ref="D12" r:id="rId2" display="https://ecoenergyinsights.com/how-we-do-it/proactive-solutions.php" xr:uid="{889BFD7B-5051-B144-AD46-E[redacted]}"/>
    <hyperlink ref="D13" r:id="rId3" xr:uid="{C8B3B34C-9DF8-BD4F-953A-24B8EAD2762C}"/>
    <hyperlink ref="D18" r:id="rId4" xr:uid="{1826EDF5-42AC-194B-90A9-E528EB96E01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0C14-8CA2-314B-B267-CBAFB8E1F78A}">
  <dimension ref="B2:D7"/>
  <sheetViews>
    <sheetView tabSelected="1" workbookViewId="0">
      <selection activeCell="D15" sqref="D15"/>
    </sheetView>
  </sheetViews>
  <sheetFormatPr baseColWidth="10" defaultRowHeight="16" x14ac:dyDescent="0.2"/>
  <cols>
    <col min="2" max="2" width="18.6640625" bestFit="1" customWidth="1"/>
    <col min="3" max="3" width="29.6640625" customWidth="1"/>
    <col min="4" max="4" width="46.5" customWidth="1"/>
  </cols>
  <sheetData>
    <row r="2" spans="2:4" x14ac:dyDescent="0.2">
      <c r="B2" s="2" t="s">
        <v>49</v>
      </c>
    </row>
    <row r="3" spans="2:4" x14ac:dyDescent="0.2">
      <c r="B3" s="2" t="s">
        <v>51</v>
      </c>
    </row>
    <row r="4" spans="2:4" ht="17" thickBot="1" x14ac:dyDescent="0.25"/>
    <row r="5" spans="2:4" ht="18" thickBot="1" x14ac:dyDescent="0.25">
      <c r="B5" s="24" t="s">
        <v>52</v>
      </c>
      <c r="C5" s="25" t="s">
        <v>53</v>
      </c>
      <c r="D5" s="25" t="s">
        <v>54</v>
      </c>
    </row>
    <row r="6" spans="2:4" ht="18" thickBot="1" x14ac:dyDescent="0.25">
      <c r="B6" s="37" t="s">
        <v>91</v>
      </c>
      <c r="C6" s="27" t="s">
        <v>91</v>
      </c>
      <c r="D6" s="28" t="s">
        <v>90</v>
      </c>
    </row>
    <row r="7" spans="2:4" ht="35" thickBot="1" x14ac:dyDescent="0.25">
      <c r="B7" s="37" t="s">
        <v>92</v>
      </c>
      <c r="C7" s="27" t="s">
        <v>93</v>
      </c>
      <c r="D7" s="28" t="s">
        <v>94</v>
      </c>
    </row>
  </sheetData>
  <hyperlinks>
    <hyperlink ref="D6" r:id="rId1" xr:uid="{6FC3FB82-6000-B844-855A-9BA424C65464}"/>
    <hyperlink ref="D7" r:id="rId2" xr:uid="{1FB7ED62-1697-2A47-8CB2-8D22A72DC5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1</vt:i4>
      </vt:variant>
    </vt:vector>
  </HeadingPairs>
  <TitlesOfParts>
    <vt:vector size="7" baseType="lpstr">
      <vt:lpstr>Summary</vt:lpstr>
      <vt:lpstr>BAS Market</vt:lpstr>
      <vt:lpstr>AI in buildings</vt:lpstr>
      <vt:lpstr>Buildings per Market</vt:lpstr>
      <vt:lpstr>IoT and AI Platforms</vt:lpstr>
      <vt:lpstr>Farm Management Systems</vt:lpstr>
      <vt:lpstr>BAS Market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2021-06-18T07:52:07Z</ns1:created>
  <ns1:modified xsi:type="dcterms:W3CDTF">2021-06-29T04:54:41Z</ns1:modified>
</ns0:coreProperties>
</file>