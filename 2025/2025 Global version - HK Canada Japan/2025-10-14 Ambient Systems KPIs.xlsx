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Overview" sheetId="1" r:id="rId4"/>
    <sheet state="visible" name="Team" sheetId="2" r:id="rId5"/>
    <sheet state="visible" name="Administrative &amp; Management Mil" sheetId="3" r:id="rId6"/>
    <sheet state="visible" name="Product Milestones" sheetId="4" r:id="rId7"/>
    <sheet state="visible" name="SDG Metrics" sheetId="5" r:id="rId8"/>
    <sheet state="visible" name="YC Metrics" sheetId="6" r:id="rId9"/>
  </sheets>
  <definedNames/>
  <calcPr/>
</workbook>
</file>

<file path=xl/sharedStrings.xml><?xml version="1.0" encoding="utf-8"?>
<sst xmlns="http://schemas.openxmlformats.org/spreadsheetml/2006/main" count="439" uniqueCount="277">
  <si>
    <t>Ambient Systems KPIs</t>
  </si>
  <si>
    <t>Category</t>
  </si>
  <si>
    <t>KPI</t>
  </si>
  <si>
    <t>Source</t>
  </si>
  <si>
    <t>Current value</t>
  </si>
  <si>
    <t>Link</t>
  </si>
  <si>
    <t>Date Updated</t>
  </si>
  <si>
    <t>Internal Metrics:
These metrics are primarily influenced by your organization's actions and decisions.</t>
  </si>
  <si>
    <t>Internal metrics</t>
  </si>
  <si>
    <t>Product</t>
  </si>
  <si>
    <t xml:space="preserve">Tech dev milestones
(we built a functional prototype based on identified user problems and are building a prospect list for user research) </t>
  </si>
  <si>
    <t>Jira</t>
  </si>
  <si>
    <t>https://ambient-systems.atlassian.net/jira/your-work</t>
  </si>
  <si>
    <t>External Metrics:
These metrics are influenced by factors outside your organization's direct control.</t>
  </si>
  <si>
    <t>Cost</t>
  </si>
  <si>
    <t>Firebase App Administration</t>
  </si>
  <si>
    <t>https://console.firebase.google.com/project/ambient-systems/authentication/usage/current-billing</t>
  </si>
  <si>
    <t>Number of SDGs addressed by your product</t>
  </si>
  <si>
    <t>UN Stats SDGs</t>
  </si>
  <si>
    <t>https://unstats.un.org/sdgs/indicators/indicators-list/</t>
  </si>
  <si>
    <t>Team</t>
  </si>
  <si>
    <t>Full-time members</t>
  </si>
  <si>
    <t>Spreadsheet</t>
  </si>
  <si>
    <t>TBC</t>
  </si>
  <si>
    <t>Fundraising</t>
  </si>
  <si>
    <t>Total Funding Raised</t>
  </si>
  <si>
    <t>Investor Contacts</t>
  </si>
  <si>
    <t>HubSpot</t>
  </si>
  <si>
    <t>https://app.hubspot.com/contacts/20545601/objects/0-1/views/10604471/list</t>
  </si>
  <si>
    <t>Sales &amp; Marketing</t>
  </si>
  <si>
    <t>Prospects</t>
  </si>
  <si>
    <t>https://app.hubspot.com/contacts/20545601/objects/0-1/views/10569892/list</t>
  </si>
  <si>
    <t>Customer Validation</t>
  </si>
  <si>
    <t>Training in Skills and Development and all the outreach activities?</t>
  </si>
  <si>
    <t>N/A</t>
  </si>
  <si>
    <t>Customer metrics</t>
  </si>
  <si>
    <t>Number of Customer Interviews Conducted</t>
  </si>
  <si>
    <t>https://docs.google.com/spreadsheets/d/1VnYjKDIh3GFr8zdEuUn7eki-lu03j_88?rtpof=true&amp;usp=drive_fs</t>
  </si>
  <si>
    <t>Number of customers who have a pain point that your product solves</t>
  </si>
  <si>
    <t>Number of customers who are willing to pay for your product</t>
  </si>
  <si>
    <t>Registered Users (total without founder)</t>
  </si>
  <si>
    <t>Engagement (Daily Active Users)</t>
  </si>
  <si>
    <t>Software Sales</t>
  </si>
  <si>
    <t>QuickBooks/Bank Account</t>
  </si>
  <si>
    <t>Financial Improvements / Benefits / Value</t>
  </si>
  <si>
    <t>Financial improvements for the customer</t>
  </si>
  <si>
    <t>Sustainabilty / SDGs</t>
  </si>
  <si>
    <t>SDG Indicator (Baseline and Improvements)</t>
  </si>
  <si>
    <t>Industry Metrics (customer industry)</t>
  </si>
  <si>
    <t>Software Industry Purchases</t>
  </si>
  <si>
    <t>Total software purchases in the industry</t>
  </si>
  <si>
    <t>Industry Competitors</t>
  </si>
  <si>
    <t>Number of competitors analyzed</t>
  </si>
  <si>
    <t>Online research</t>
  </si>
  <si>
    <t>https://drive.google.com/open?id=1WNcftmAKp7UWTT-uChQhG02dFD2bh60_&amp;usp=drive_fs</t>
  </si>
  <si>
    <t>Industry Regulation</t>
  </si>
  <si>
    <t>Number of regulations affecting the industry</t>
  </si>
  <si>
    <t>Industry Technology Trends</t>
  </si>
  <si>
    <t>Emerging technologies in the industry</t>
  </si>
  <si>
    <t>Industry average customer satisfaction score</t>
  </si>
  <si>
    <t>Average customer satisfaction score for companies in the industry</t>
  </si>
  <si>
    <t>Industry average social media engagement</t>
  </si>
  <si>
    <t>Average social media engagement for companies in the industry</t>
  </si>
  <si>
    <t>Sources of Data</t>
  </si>
  <si>
    <t>Type of Data</t>
  </si>
  <si>
    <t>Manual or Automated</t>
  </si>
  <si>
    <t>Update Frequency</t>
  </si>
  <si>
    <t>Financial</t>
  </si>
  <si>
    <t>Bank Transactions</t>
  </si>
  <si>
    <t>CSV</t>
  </si>
  <si>
    <t>Manual</t>
  </si>
  <si>
    <t>Monthly</t>
  </si>
  <si>
    <t>API</t>
  </si>
  <si>
    <t>Automated</t>
  </si>
  <si>
    <t>Real-time</t>
  </si>
  <si>
    <t>HR &amp; Employee</t>
  </si>
  <si>
    <t>Sustainability</t>
  </si>
  <si>
    <t>LinkedIn Social Media Traffic Data</t>
  </si>
  <si>
    <t>Weekly</t>
  </si>
  <si>
    <t>Name</t>
  </si>
  <si>
    <t>Role</t>
  </si>
  <si>
    <t>Specialty</t>
  </si>
  <si>
    <t>Arrangement</t>
  </si>
  <si>
    <t>Job Type</t>
  </si>
  <si>
    <t>Ivan Damnjanovic</t>
  </si>
  <si>
    <t>CEO</t>
  </si>
  <si>
    <t>Product, Business Development, and Fundraising</t>
  </si>
  <si>
    <t>Full-time</t>
  </si>
  <si>
    <t>TBD</t>
  </si>
  <si>
    <t>User Researcher</t>
  </si>
  <si>
    <t>Part-time</t>
  </si>
  <si>
    <t>Electrical Engineering</t>
  </si>
  <si>
    <t>Contract</t>
  </si>
  <si>
    <t>Accountant</t>
  </si>
  <si>
    <t>Accounting</t>
  </si>
  <si>
    <t>Temporary</t>
  </si>
  <si>
    <t>Volunteer</t>
  </si>
  <si>
    <t>Internship</t>
  </si>
  <si>
    <t>Sleek</t>
  </si>
  <si>
    <t>Corporate Secretary</t>
  </si>
  <si>
    <t>Agency Outsource</t>
  </si>
  <si>
    <t>Other</t>
  </si>
  <si>
    <t>Web Designer</t>
  </si>
  <si>
    <t>Agency/Outsource</t>
  </si>
  <si>
    <t>Web Developer</t>
  </si>
  <si>
    <t>App Developer</t>
  </si>
  <si>
    <t>Data Scientist</t>
  </si>
  <si>
    <t>Hardware</t>
  </si>
  <si>
    <t>Examples</t>
  </si>
  <si>
    <t>Corp Secretary</t>
  </si>
  <si>
    <t>Company Registration
AGM
Board Resolutions</t>
  </si>
  <si>
    <t>Bank Accounts</t>
  </si>
  <si>
    <t>Patent Licenses</t>
  </si>
  <si>
    <t>NDAs</t>
  </si>
  <si>
    <t>Employee Accounts</t>
  </si>
  <si>
    <t>KPI Tracking</t>
  </si>
  <si>
    <t>Workflows</t>
  </si>
  <si>
    <t>Investor Data Room
Product Development Folder (Ongoing: July 2023 to Present)
Customer Processes: Validation &amp; Sales (6 months: January 2023 to July 2023)
Engineering Management: Development and Deployment (6 months: July 2021 to December 2021)</t>
  </si>
  <si>
    <t>Pitchdecks
Demos
Fundraising models and projections</t>
  </si>
  <si>
    <t>Website</t>
  </si>
  <si>
    <t>Social Media</t>
  </si>
  <si>
    <t>Incubators</t>
  </si>
  <si>
    <t>Account Administration</t>
  </si>
  <si>
    <t>Ambient Systems</t>
  </si>
  <si>
    <t>Product Milestones</t>
  </si>
  <si>
    <t>Pre-Requirements</t>
  </si>
  <si>
    <t>Use cases</t>
  </si>
  <si>
    <t>Google Drive</t>
  </si>
  <si>
    <t>Ideal customer profiles (ICP)</t>
  </si>
  <si>
    <t>Empathy maps</t>
  </si>
  <si>
    <t>Storyboards</t>
  </si>
  <si>
    <t>Google Drive/Figma</t>
  </si>
  <si>
    <t>Product requirements gathering</t>
  </si>
  <si>
    <t>Number of requirements gathered</t>
  </si>
  <si>
    <t>Product design</t>
  </si>
  <si>
    <t>Number of features designed</t>
  </si>
  <si>
    <t>Figma</t>
  </si>
  <si>
    <t>Number of architecture diagrams</t>
  </si>
  <si>
    <t>Product development:</t>
  </si>
  <si>
    <t>Number of features developed</t>
  </si>
  <si>
    <t>Number of bugs found and fixed</t>
  </si>
  <si>
    <t>Number of hardware prototypes</t>
  </si>
  <si>
    <t>Number of data science prototypes</t>
  </si>
  <si>
    <t>Product testing</t>
  </si>
  <si>
    <t>Number of tests run</t>
  </si>
  <si>
    <t>Product launch</t>
  </si>
  <si>
    <t>Number of users who sign up for the product</t>
  </si>
  <si>
    <t>Firebase App Admin</t>
  </si>
  <si>
    <t>Number of user manuals prepared</t>
  </si>
  <si>
    <t>Goal 8. Promote sustained, inclusive and sustainable economic growth, full and productive employment and decent work for all</t>
  </si>
  <si>
    <t>Relevant to Ambient Systems</t>
  </si>
  <si>
    <t>8.1 Sustain per capita economic growth in accordance with national circumstances and, in particular, at least 7 per cent gross domestic product growth per annum in the least developed countries</t>
  </si>
  <si>
    <t>N</t>
  </si>
  <si>
    <t>8.1.1 Annual growth rate of real GDP per capita</t>
  </si>
  <si>
    <t>8.2 Achieve higher levels of economic productivity through diversification, technological upgrading and innovation, including through a focus on high-value added and labour-intensive sectors</t>
  </si>
  <si>
    <t>8.2.1 Annual growth rate of real GDP per employed person</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</si>
  <si>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</si>
  <si>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Ambient Systems can contribute to this target by helping businesses improve their financial performance, which can lead to job creation and support the growth of enterprises.</t>
  </si>
  <si>
    <t>8.3.1 Proportion of informal employment in total employment, by sector and sex</t>
  </si>
  <si>
    <t>Y</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</si>
  <si>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</si>
  <si>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Ambient Systems can indirectly contribute to this target by encouraging businesses to adopt more sustainable financial practices, which may lead to more sustainable consumption and production patterns.</t>
  </si>
  <si>
    <t>8.4.1 Material footprint, material footprint per capita, and material footprint per GDP</t>
  </si>
  <si>
    <t>8.4.2 Domestic material consumption, domestic material consumption per capita, and domestic material consumption per GDP</t>
  </si>
  <si>
    <t>8.5 By 2030, achieve full and productive employment and decent work for all women and men, including for young people and persons with disabilities, and equal pay for work of equal value</t>
  </si>
  <si>
    <t>Ambient Systems can contribute to this target by promoting financial strategies that support decent work and equal pay within organizations.</t>
  </si>
  <si>
    <t>8.5.1 Average hourly earnings of employees, by sex, age, occupation and persons with disabilities</t>
  </si>
  <si>
    <t>8.5.2 Unemployment rate, by sex, age and persons with disabilities</t>
  </si>
  <si>
    <t>8.6 By 2020, substantially reduce the proportion of youth not in employment, education or training</t>
  </si>
  <si>
    <t>Ambient Systems can contribute to this target by helping businesses improve their financial performance and create job opportunities, especially for youth.</t>
  </si>
  <si>
    <t>8.6.1 Proportion of youth (aged 15–24 years) not in education, employment or training</t>
  </si>
  <si>
    <t>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</si>
  <si>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8.7.1 Proportion and number of children aged 5–17 years engaged in child labour, by sex and age</t>
  </si>
  <si>
    <t>8.8 Protect labour rights and promote safe and secure working environments for all workers, including migrant workers, in particular women migrants, and those in precarious employment</t>
  </si>
  <si>
    <t>Ambient Systems can indirectly contribute to this target by promoting financial strategies that support safer and more secure working environments.</t>
  </si>
  <si>
    <t>8.8.1 Fatal and non-fatal occupational injuries per 100,000 workers, by sex and migrant status</t>
  </si>
  <si>
    <t>8.8.2 Level of national compliance with labour rights (freedom of association and collective bargaining) based on International Labour Organization (ILO) textual sources and national legislation, by sex and migrant status</t>
  </si>
  <si>
    <t>8.9 By 2030, devise and implement policies to promote sustainable tourism that creates jobs and promotes local culture and products</t>
  </si>
  <si>
    <t>8.9.1 Tourism direct GDP as a proportion of total GDP and in growth rate</t>
  </si>
  <si>
    <t>8.10 Strengthen the capacity of domestic financial institutions to encourage and expand access to banking, insurance and financial services for all</t>
  </si>
  <si>
    <t>This target aligns closely with Ambient Systems' mission of providing financial management and access to financial services.</t>
  </si>
  <si>
    <t>8.10.1 (a) Number of commercial bank branches per 100,000 adults and (b) number of automated teller machines (ATMs) per 100,000 adults</t>
  </si>
  <si>
    <t>8.10.2 Proportion of adults (15 years and older) with an account at a bank or other financial institution or with a mobile-money-service provider</t>
  </si>
  <si>
    <t>8.a Increase Aid for Trade support for developing countries, in particular least developed countries, including through the Enhanced Integrated Framework for Trade- related Technical Assistance to Least Developed Countries</t>
  </si>
  <si>
    <t>8.a.1 Aid for Trade commitments and disbursements</t>
  </si>
  <si>
    <t>8.b By 2020, develop and operationalize a global strategy for youth employment and implement the Global Jobs Pact of the International Labour Organization</t>
  </si>
  <si>
    <t>8.b.1 Existence of a developed and operationalized national strategy for youth employment, as a distinct strategy or as part of a national employment strategy</t>
  </si>
  <si>
    <t>Goal 9. Build resilient infrastructure, promote inclusive and sustainable industrialization and foster innovation</t>
  </si>
  <si>
    <t>9.1 Develop quality, reliable, sustainable and resilient infrastructure, including regional and transborder infrastructure, to support economic development and human well-being, with a focus on affordable and equitable access for all</t>
  </si>
  <si>
    <t>9.1.1 Proportion of the rural population who live within 2 km of an all-season road</t>
  </si>
  <si>
    <t>9.1.2 Passenger and freight volumes, by mode of transport</t>
  </si>
  <si>
    <t>9.2 Promote inclusive and sustainable industrialization and, by 2030, significantly raise industry’s share of employment and gross domestic product, in line with national circumstances, and double its share in least developed countries</t>
  </si>
  <si>
    <t>Ambient Systems can indirectly contribute to this target by helping businesses improve their financial performance, which can support industrialization and job creation.</t>
  </si>
  <si>
    <t>9.2.1 Manufacturing value added as a proportion of GDP and per capita</t>
  </si>
  <si>
    <t>9.2.2 Manufacturing employment as a proportion of total employment</t>
  </si>
  <si>
    <t>9.3 Increase the access of small-scale industrial and other enterprises, in particular in developing countries, to financial services, including affordable credit, and their integration into value chains and markets</t>
  </si>
  <si>
    <t>Ambient Systems can directly contribute to this target by facilitating financial services and credit access for small-scale industries through its financial management solutions.</t>
  </si>
  <si>
    <t>9.3.1 Proportion of small-scale industries in total industry value added</t>
  </si>
  <si>
    <t>9.3.2 Proportion of small-scale industries with a loan or line of credit</t>
  </si>
  <si>
    <t>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</si>
  <si>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Ambient Systems can contribute to this target by promoting sustainable financial practices that encourage businesses to adopt clean and environmentally sound technologies and processes.</t>
  </si>
  <si>
    <t>9.4.1 CO2 emission per unit of value added</t>
  </si>
  <si>
    <t>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</si>
  <si>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Ambient Systems can indirectly contribute to this target by supporting businesses in adopting innovative financial strategies and fostering a culture of innovation within organizations.</t>
  </si>
  <si>
    <t>9.5.1 Research and development expenditure as a proportion of GDP</t>
  </si>
  <si>
    <t>9.5.2 Researchers (in full-time equivalent) per million inhabitants</t>
  </si>
  <si>
    <t>9.a Facilitate sustainable and resilient infrastructure development in developing countries through enhanced financial, technological and technical support to African countries, least developed countries, landlocked developing countries and small island developing States</t>
  </si>
  <si>
    <t>9.a.1 Total official international support (official development assistance plus other official flows) to infrastructure</t>
  </si>
  <si>
    <t>9.b Support domestic technology development, research and innovation in developing countries, including by ensuring a conducive policy environment for, inter alia, industrial diversification and value addition to commodities</t>
  </si>
  <si>
    <t>9.b.1 Proportion of medium and high-tech industry value added in total value added</t>
  </si>
  <si>
    <t>9.c Significantly increase access to information and communications technology and strive to provide universal and affordable access to the Internet in least developed countries by 2020</t>
  </si>
  <si>
    <t>9.c.1 Proportion of population covered by a mobile network, by technology</t>
  </si>
  <si>
    <t>Goal 12. Ensure sustainable consumption and production patterns</t>
  </si>
  <si>
    <t>12.1 Implement the 10-Year Framework of Programmes on Sustainable Consumption and Production Patterns, all countries taking action, with developed countries taking the lead, taking into account the development and capabilities of developing countries</t>
  </si>
  <si>
    <t>Ambient Systems can indirectly contribute to this target by promoting sustainable financial practices that encourage businesses to consider environmental factors in their consumption and production patterns.</t>
  </si>
  <si>
    <t>12.1.1 Number of countries developing, adopting or implementing policy instruments aimed at supporting the shift to sustainable consumption and production</t>
  </si>
  <si>
    <t>12.2 By 2030, achieve the sustainable management and efficient use of natural resources</t>
  </si>
  <si>
    <t>Ambient Systems can contribute to this target by encouraging businesses to adopt financial strategies that prioritize resource efficiency and sustainability.</t>
  </si>
  <si>
    <t>12.2.1 Material footprint, material footprint per capita, and material footprint per GDP</t>
  </si>
  <si>
    <t>12.2.2 Domestic material consumption, domestic material consumption per capita, and domestic material consumption per GDP</t>
  </si>
  <si>
    <t>12.3 By 2030, halve per capita global food waste at the retail and consumer levels and reduce food losses along production and supply chains, including post-harvest losses</t>
  </si>
  <si>
    <t>12.3.1 (a) Food loss index and (b) food waste index</t>
  </si>
  <si>
    <t>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</si>
  <si>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12.4.1 Number of parties to international multilateral environmental agreements on hazardous waste, and other chemicals that meet their commitments and obligations in transmitting information as required by each relevant agreement</t>
  </si>
  <si>
    <t>12.4.2 (a) Hazardous waste generated per capita; and (b) proportion of hazardous waste treated, by type of treatment</t>
  </si>
  <si>
    <t>12.5 By 2030, substantially reduce waste generation through prevention, reduction, recycling and reuse</t>
  </si>
  <si>
    <t>12.5.1 National recycling rate, tons of material recycled</t>
  </si>
  <si>
    <t>12.6 Encourage companies, especially large and transnational companies, to adopt sustainable practices and to integrate sustainability information into their reporting cycle</t>
  </si>
  <si>
    <t>Ambient Systems can indirectly contribute to this target by promoting financial practices that encourage companies to integrate sustainability into their reporting.</t>
  </si>
  <si>
    <t>12.6.1 Number of companies publishing sustainability reports</t>
  </si>
  <si>
    <t>12.7 Promote public procurement practices that are sustainable, in accordance with national policies and priorities</t>
  </si>
  <si>
    <t>12.7.1 Number of countries implementing sustainable public procurement policies and action plans</t>
  </si>
  <si>
    <t>12.8 By 2030, ensure that people everywhere have the relevant information and awareness for sustainable development and lifestyles in harmony with nature</t>
  </si>
  <si>
    <t>Ambient Systems can play a role in raising awareness about sustainable financial practices and their benefits.</t>
  </si>
  <si>
    <t>12.8.1 Extent to which (i) global citizenship education and (ii) education for sustainable development are mainstreamed in (a) national education policies; (b) curricula; (c) teacher education; and (d) student assessment</t>
  </si>
  <si>
    <t>12.a Support developing countries to strengthen their scientific and technological capacity to move towards more sustainable patterns of consumption and production</t>
  </si>
  <si>
    <t>12.a.1 Installed renewable energy-generating capacity in developing countries (in watts per capita)</t>
  </si>
  <si>
    <t>12.b Develop and implement tools to monitor sustainable development impacts for sustainable tourism that creates jobs and promotes local culture and products</t>
  </si>
  <si>
    <t>12.b.1 Implementation of standard accounting tools to monitor the economic and environmental aspects of tourism sustainability</t>
  </si>
  <si>
    <t>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</si>
  <si>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This target highlights the need for financial policy changes to support sustainable consumption and production. Ambient Systems can indirectly contribute by advocating for sustainable financial practices and reducing financial support for harmful subsidies.</t>
  </si>
  <si>
    <t>12.c.1 Amount of fossil-fuel subsidies (production and consumption) per unit of GDP</t>
  </si>
  <si>
    <t>Goal 13. Take urgent action to combat climate change and its impacts</t>
  </si>
  <si>
    <t>13.1 Strengthen resilience and adaptive capacity to climate- related hazards and natural disasters in all countries</t>
  </si>
  <si>
    <t>Ambient Systems can indirectly contribute to this target by providing financial management solutions that help businesses adapt to climate-related risks and disasters.</t>
  </si>
  <si>
    <t>13.1.1 Number of deaths, missing persons and directly affected persons attributed to disasters per 100,000 population</t>
  </si>
  <si>
    <t>13.1.2 Number of countries that adopt and implement national disaster risk reduction strategies in line with the Sendai Framework for Disaster Risk Reduction 2015–2030</t>
  </si>
  <si>
    <t>13.1.3 Proportion of local governments that adopt and implement local disaster risk reduction strategies in line with national disaster risk reduction strategies</t>
  </si>
  <si>
    <t>13.2 Integrate climate change measures into national policies, strategies and planning</t>
  </si>
  <si>
    <t>Ambient Systems can play a role in promoting sustainable financial practices that align with national climate change policies and strategies.</t>
  </si>
  <si>
    <t>13.2.1 Number of countries with nationally determined contributions, long-term strategies, national adaptation plans and adaptation communications, as reported to the secretariat of the United Nations Framework Convention on Climate Change</t>
  </si>
  <si>
    <t>13.2.2 Total greenhouse gas emissions per year</t>
  </si>
  <si>
    <t>13.3 Improve education, awareness-raising and human and institutional capacity on climate change mitigation, adaptation, impact reduction and early warning</t>
  </si>
  <si>
    <t>13.3.1 Extent to which (i) global citizenship education and (ii) education for sustainable development are mainstreamed in (a) national education policies; (b) curricula; (c) teacher education; and (d) student assessment</t>
  </si>
  <si>
    <t>13.a Implement the commitment undertaken by developed- 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</si>
  <si>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13.a.1 Amounts provided and mobilized in United States dollars per year in relation to the continued existing collective mobilization goal of the $100 billion commitment through to 2025</t>
  </si>
  <si>
    <t>13.b Promote mechanisms for raising capacity for effective climate change-related planning and management in least developed countries and small island developing States, including focusing on women, youth and local and marginalized communities</t>
  </si>
  <si>
    <t>13.b.1 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</si>
  <si>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YC Metrics</t>
  </si>
  <si>
    <t>Internal/External</t>
  </si>
  <si>
    <t>Recurring Revenue</t>
  </si>
  <si>
    <t>Annual Recurring Revenue</t>
  </si>
  <si>
    <t>External</t>
  </si>
  <si>
    <t>Monthly Recurring Revenue</t>
  </si>
  <si>
    <t>Revenue</t>
  </si>
  <si>
    <t>Hardware Sales</t>
  </si>
  <si>
    <t>Preorder Sales</t>
  </si>
  <si>
    <t>Paid Trials</t>
  </si>
  <si>
    <t>Paid Contracts</t>
  </si>
  <si>
    <t>Ecommerce Sales</t>
  </si>
  <si>
    <t>Marketplace Transaction Volume</t>
  </si>
  <si>
    <t>Transaction Volume (other)</t>
  </si>
  <si>
    <t>Assets Under Management</t>
  </si>
  <si>
    <t>Engagement</t>
  </si>
  <si>
    <t>Active users in the last day (DAU)</t>
  </si>
  <si>
    <t>Active users in the last week (WAU)</t>
  </si>
  <si>
    <t>Active users in the last month (MAU)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</si>
</sst>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quot;$&quot;#,##0"/>
  </numFmts>
  <fonts count="10">
    <font>
      <sz val="10.0"/>
      <color rgb="FF000000"/>
      <name val="Arial"/>
      <scheme val="minor"/>
    </font>
    <font>
      <b/>
      <sz val="10.0"/>
      <color rgb="FF000000"/>
      <name val="Arial"/>
      <scheme val="minor"/>
    </font>
    <font>
      <sz val="10.0"/>
      <color theme="1"/>
      <name val="Arial"/>
      <scheme val="minor"/>
    </font>
    <font>
      <u/>
      <sz val="10.0"/>
      <color rgb="FF0000FF"/>
    </font>
    <font/>
    <font>
      <u/>
      <sz val="10.0"/>
      <color rgb="FF000000"/>
    </font>
    <font>
      <u/>
      <sz val="10.0"/>
      <color rgb="FF0000FF"/>
    </font>
    <font>
      <b/>
      <sz val="10.0"/>
      <color theme="1"/>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0" numFmtId="0" xfId="0" applyAlignment="1" applyFont="1">
      <alignment vertical="center"/>
    </xf>
    <xf borderId="0" fillId="0" fontId="0" numFmtId="0" xfId="0" applyAlignment="1" applyFont="1">
      <alignment shrinkToFit="0" vertical="center" wrapText="0"/>
    </xf>
    <xf borderId="0" fillId="0" fontId="1" numFmtId="0" xfId="0" applyAlignment="1" applyFont="1">
      <alignment readingOrder="0" vertical="center"/>
    </xf>
    <xf borderId="0" fillId="0" fontId="2" numFmtId="0" xfId="0" applyAlignment="1" applyFont="1">
      <alignment vertical="center"/>
    </xf>
    <xf borderId="1" fillId="0" fontId="0" numFmtId="0" xfId="0" applyAlignment="1" applyBorder="1" applyFont="1">
      <alignment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0"/>
    </xf>
    <xf borderId="0" fillId="0" fontId="0" numFmtId="0" xfId="0" applyAlignment="1" applyFont="1">
      <alignment readingOrder="0" vertical="center"/>
    </xf>
    <xf borderId="2" fillId="2" fontId="1" numFmtId="0" xfId="0" applyAlignment="1" applyBorder="1" applyFill="1" applyFont="1">
      <alignment horizontal="center" readingOrder="0" vertical="center"/>
    </xf>
    <xf borderId="1" fillId="3" fontId="0" numFmtId="0" xfId="0" applyAlignment="1" applyBorder="1" applyFill="1" applyFont="1">
      <alignment horizontal="center" readingOrder="0" shrinkToFit="0" vertical="center" wrapText="0"/>
    </xf>
    <xf borderId="1" fillId="3" fontId="0" numFmtId="0" xfId="0" applyAlignment="1" applyBorder="1" applyFont="1">
      <alignment horizontal="center" readingOrder="0" shrinkToFit="0" vertical="center" wrapText="1"/>
    </xf>
    <xf borderId="1" fillId="3" fontId="0" numFmtId="0" xfId="0" applyAlignment="1" applyBorder="1" applyFont="1">
      <alignment horizontal="center" readingOrder="0" vertical="center"/>
    </xf>
    <xf borderId="1" fillId="3" fontId="0" numFmtId="0" xfId="0" applyAlignment="1" applyBorder="1" applyFont="1">
      <alignment horizontal="center" vertical="center"/>
    </xf>
    <xf borderId="1" fillId="3" fontId="3" numFmtId="0" xfId="0" applyAlignment="1" applyBorder="1" applyFont="1">
      <alignment readingOrder="0" shrinkToFit="0" vertical="center" wrapText="0"/>
    </xf>
    <xf borderId="1" fillId="3" fontId="0" numFmtId="164" xfId="0" applyAlignment="1" applyBorder="1" applyFont="1" applyNumberFormat="1">
      <alignment horizontal="center" readingOrder="0" vertical="center"/>
    </xf>
    <xf borderId="3" fillId="0" fontId="4" numFmtId="0" xfId="0" applyBorder="1" applyFont="1"/>
    <xf borderId="1" fillId="0" fontId="0" numFmtId="0" xfId="0" applyAlignment="1" applyBorder="1" applyFont="1">
      <alignment horizontal="center" readingOrder="0" shrinkToFit="0" vertical="center" wrapText="0"/>
    </xf>
    <xf borderId="1" fillId="0" fontId="2" numFmtId="0" xfId="0" applyAlignment="1" applyBorder="1" applyFont="1">
      <alignment horizontal="center" readingOrder="0" vertical="center"/>
    </xf>
    <xf borderId="1" fillId="0" fontId="0" numFmtId="0" xfId="0" applyAlignment="1" applyBorder="1" applyFont="1">
      <alignment horizontal="center" readingOrder="0" vertical="center"/>
    </xf>
    <xf borderId="1" fillId="0" fontId="0" numFmtId="165" xfId="0" applyAlignment="1" applyBorder="1" applyFont="1" applyNumberFormat="1">
      <alignment horizontal="center" readingOrder="0" vertical="center"/>
    </xf>
    <xf borderId="1" fillId="0" fontId="5" numFmtId="0" xfId="0" applyAlignment="1" applyBorder="1" applyFont="1">
      <alignment readingOrder="0" shrinkToFit="0" vertical="center" wrapText="0"/>
    </xf>
    <xf borderId="1" fillId="0" fontId="0" numFmtId="164" xfId="0" applyAlignment="1" applyBorder="1" applyFont="1" applyNumberFormat="1">
      <alignment horizontal="center" readingOrder="0" vertical="center"/>
    </xf>
    <xf borderId="1" fillId="0" fontId="2" numFmtId="0" xfId="0" applyAlignment="1" applyBorder="1" applyFont="1">
      <alignment horizontal="center" readingOrder="0" shrinkToFit="0" vertical="center" wrapText="0"/>
    </xf>
    <xf borderId="4" fillId="0" fontId="4" numFmtId="0" xfId="0" applyBorder="1" applyFont="1"/>
    <xf borderId="1" fillId="0" fontId="6" numFmtId="0" xfId="0" applyAlignment="1" applyBorder="1" applyFont="1">
      <alignment readingOrder="0" shrinkToFit="0" vertical="center" wrapText="0"/>
    </xf>
    <xf borderId="2" fillId="0" fontId="7" numFmtId="0" xfId="0" applyAlignment="1" applyBorder="1" applyFont="1">
      <alignment horizontal="center" readingOrder="0" shrinkToFit="0" vertical="center" wrapText="1"/>
    </xf>
    <xf borderId="1" fillId="2" fontId="0" numFmtId="0" xfId="0" applyAlignment="1" applyBorder="1" applyFont="1">
      <alignment horizontal="center" readingOrder="0" shrinkToFit="0" vertical="center" wrapText="0"/>
    </xf>
    <xf borderId="1" fillId="0" fontId="1" numFmtId="0" xfId="0" applyAlignment="1" applyBorder="1" applyFont="1">
      <alignment readingOrder="0" vertical="center"/>
    </xf>
    <xf borderId="1" fillId="0" fontId="0" numFmtId="0" xfId="0" applyAlignment="1" applyBorder="1" applyFont="1">
      <alignment readingOrder="0" vertical="center"/>
    </xf>
    <xf borderId="1" fillId="0" fontId="8" numFmtId="0" xfId="0" applyAlignment="1" applyBorder="1" applyFont="1">
      <alignment readingOrder="0"/>
    </xf>
    <xf borderId="1" fillId="0" fontId="9" numFmtId="0" xfId="0" applyAlignment="1" applyBorder="1" applyFont="1">
      <alignment readingOrder="0"/>
    </xf>
    <xf borderId="1" fillId="0" fontId="9" numFmtId="0" xfId="0" applyBorder="1" applyFont="1"/>
    <xf borderId="0" fillId="0" fontId="9" numFmtId="0" xfId="0" applyAlignment="1" applyFont="1">
      <alignment readingOrder="0"/>
    </xf>
    <xf borderId="1" fillId="0" fontId="9" numFmtId="0" xfId="0" applyAlignment="1" applyBorder="1" applyFont="1">
      <alignment readingOrder="0" vertical="center"/>
    </xf>
    <xf borderId="1" fillId="0" fontId="9" numFmtId="0" xfId="0" applyAlignment="1" applyBorder="1" applyFont="1">
      <alignment horizontal="center" readingOrder="0" vertical="center"/>
    </xf>
    <xf borderId="1" fillId="0" fontId="9" numFmtId="0" xfId="0" applyAlignment="1" applyBorder="1" applyFont="1">
      <alignment horizontal="center" vertical="center"/>
    </xf>
    <xf borderId="1" fillId="0" fontId="9" numFmtId="0" xfId="0" applyAlignment="1" applyBorder="1" applyFont="1">
      <alignment vertical="center"/>
    </xf>
    <xf borderId="0" fillId="0" fontId="9" numFmtId="0" xfId="0" applyFont="1"/>
    <xf borderId="0" fillId="0" fontId="0" numFmtId="0" xfId="0" applyAlignment="1" applyFont="1">
      <alignment horizontal="left" readingOrder="0" vertical="center"/>
    </xf>
    <xf borderId="0" fillId="0" fontId="0" numFmtId="0" xfId="0" applyAlignment="1" applyFont="1">
      <alignment horizontal="center" readingOrder="0" vertical="center"/>
    </xf>
    <xf borderId="1" fillId="0" fontId="0" numFmtId="0" xfId="0" applyAlignment="1" applyBorder="1" applyFont="1">
      <alignment horizontal="left" readingOrder="0" vertical="center"/>
    </xf>
    <xf borderId="1" fillId="0" fontId="9" numFmtId="0" xfId="0" applyAlignment="1" applyBorder="1" applyFont="1">
      <alignment horizontal="left" readingOrder="0"/>
    </xf>
    <xf borderId="1" fillId="0" fontId="9" numFmtId="0" xfId="0" applyAlignment="1" applyBorder="1" applyFont="1">
      <alignment horizontal="center" readingOrder="0"/>
    </xf>
    <xf borderId="0" fillId="0" fontId="9" numFmtId="0" xfId="0" applyAlignment="1" applyFont="1">
      <alignment horizontal="center" vertical="center"/>
    </xf>
    <xf borderId="0" fillId="0" fontId="9" numFmtId="0" xfId="0" applyAlignment="1" applyFont="1">
      <alignment shrinkToFit="0" wrapText="0"/>
    </xf>
    <xf borderId="0" fillId="0" fontId="9" numFmtId="0" xfId="0" applyAlignment="1" applyFont="1">
      <alignment shrinkToFit="0" wrapText="1"/>
    </xf>
    <xf borderId="1" fillId="0" fontId="8"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0"/>
    </xf>
    <xf borderId="1" fillId="0" fontId="9" numFmtId="0" xfId="0" applyAlignment="1" applyBorder="1" applyFont="1">
      <alignment readingOrder="0" shrinkToFit="0" vertical="center" wrapText="1"/>
    </xf>
    <xf borderId="1" fillId="0" fontId="8" numFmtId="0" xfId="0" applyAlignment="1" applyBorder="1" applyFont="1">
      <alignment readingOrder="0" shrinkToFit="0" wrapText="1"/>
    </xf>
    <xf borderId="1" fillId="0" fontId="9" numFmtId="0" xfId="0" applyAlignment="1" applyBorder="1" applyFont="1">
      <alignment readingOrder="0" shrinkToFit="0" wrapText="0"/>
    </xf>
    <xf borderId="1" fillId="0" fontId="9"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mbient-systems.atlassian.net/jira/your-work" TargetMode="External"/><Relationship Id="rId2" Type="http://schemas.openxmlformats.org/officeDocument/2006/relationships/hyperlink" Target="https://console.firebase.google.com/project/ambient-systems/authentication/usage/current-billing" TargetMode="External"/><Relationship Id="rId3" Type="http://schemas.openxmlformats.org/officeDocument/2006/relationships/hyperlink" Target="https://unstats.un.org/sdgs/indicators/indicators-list/" TargetMode="External"/><Relationship Id="rId4" Type="http://schemas.openxmlformats.org/officeDocument/2006/relationships/hyperlink" Target="https://app.hubspot.com/contacts/20545601/objects/0-1/views/10604471/list" TargetMode="External"/><Relationship Id="rId11" Type="http://schemas.openxmlformats.org/officeDocument/2006/relationships/hyperlink" Target="https://drive.google.com/open?id=1WNcftmAKp7UWTT-uChQhG02dFD2bh60_&amp;usp=drive_fs" TargetMode="External"/><Relationship Id="rId10" Type="http://schemas.openxmlformats.org/officeDocument/2006/relationships/hyperlink" Target="https://console.firebase.google.com/project/ambient-systems/authentication/usage/current-billing" TargetMode="External"/><Relationship Id="rId12" Type="http://schemas.openxmlformats.org/officeDocument/2006/relationships/drawing" Target="../drawings/drawing1.xml"/><Relationship Id="rId9" Type="http://schemas.openxmlformats.org/officeDocument/2006/relationships/hyperlink" Target="https://console.firebase.google.com/project/ambient-systems/authentication/usage/current-billing" TargetMode="External"/><Relationship Id="rId5" Type="http://schemas.openxmlformats.org/officeDocument/2006/relationships/hyperlink" Target="https://app.hubspot.com/contacts/20545601/objects/0-1/views/10569892/list" TargetMode="External"/><Relationship Id="rId6" Type="http://schemas.openxmlformats.org/officeDocument/2006/relationships/hyperlink" Target="https://docs.google.com/spreadsheets/d/1VnYjKDIh3GFr8zdEuUn7eki-lu03j_88?rtpof=true&amp;usp=drive_fs" TargetMode="External"/><Relationship Id="rId7" Type="http://schemas.openxmlformats.org/officeDocument/2006/relationships/hyperlink" Target="https://docs.google.com/spreadsheets/d/1VnYjKDIh3GFr8zdEuUn7eki-lu03j_88?rtpof=true&amp;usp=drive_fs" TargetMode="External"/><Relationship Id="rId8" Type="http://schemas.openxmlformats.org/officeDocument/2006/relationships/hyperlink" Target="https://docs.google.com/spreadsheets/d/1VnYjKDIh3GFr8zdEuUn7eki-lu03j_88?rtpof=true&amp;usp=drive_f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7.63"/>
    <col customWidth="1" min="3" max="3" width="32.25"/>
    <col customWidth="1" min="4" max="4" width="55.13"/>
    <col customWidth="1" min="5" max="5" width="25.25"/>
    <col customWidth="1" min="6" max="6" width="18.0"/>
    <col customWidth="1" min="8" max="8" width="16.0"/>
  </cols>
  <sheetData>
    <row r="1">
      <c r="A1" s="1"/>
      <c r="B1" s="1"/>
      <c r="C1" s="1"/>
      <c r="D1" s="1"/>
      <c r="E1" s="1"/>
      <c r="F1" s="1"/>
      <c r="G1" s="2"/>
      <c r="H1" s="1"/>
      <c r="I1" s="1"/>
      <c r="J1" s="1"/>
      <c r="K1" s="1"/>
      <c r="L1" s="1"/>
      <c r="M1" s="1"/>
      <c r="N1" s="1"/>
      <c r="O1" s="1"/>
      <c r="P1" s="1"/>
      <c r="Q1" s="1"/>
      <c r="R1" s="1"/>
      <c r="S1" s="1"/>
      <c r="T1" s="1"/>
      <c r="U1" s="1"/>
      <c r="V1" s="1"/>
      <c r="W1" s="1"/>
      <c r="X1" s="1"/>
      <c r="Y1" s="1"/>
      <c r="Z1" s="1"/>
      <c r="AA1" s="1"/>
      <c r="AB1" s="1"/>
    </row>
    <row r="2">
      <c r="A2" s="1"/>
      <c r="B2" s="3" t="s">
        <v>0</v>
      </c>
      <c r="C2" s="1"/>
      <c r="D2" s="1"/>
      <c r="E2" s="1"/>
      <c r="F2" s="1"/>
      <c r="G2" s="2"/>
      <c r="H2" s="1"/>
      <c r="I2" s="1"/>
      <c r="J2" s="1"/>
      <c r="K2" s="1"/>
      <c r="L2" s="1"/>
      <c r="M2" s="1"/>
      <c r="N2" s="1"/>
      <c r="O2" s="1"/>
      <c r="P2" s="1"/>
      <c r="Q2" s="1"/>
      <c r="R2" s="1"/>
      <c r="S2" s="1"/>
      <c r="T2" s="1"/>
      <c r="U2" s="1"/>
      <c r="V2" s="1"/>
      <c r="W2" s="1"/>
      <c r="X2" s="1"/>
      <c r="Y2" s="1"/>
      <c r="Z2" s="1"/>
      <c r="AA2" s="1"/>
      <c r="AB2" s="1"/>
    </row>
    <row r="3">
      <c r="A3" s="1"/>
      <c r="B3" s="1"/>
      <c r="C3" s="1"/>
      <c r="D3" s="1"/>
      <c r="E3" s="1"/>
      <c r="F3" s="1"/>
      <c r="G3" s="2"/>
      <c r="H3" s="1"/>
      <c r="I3" s="1"/>
      <c r="J3" s="1"/>
      <c r="K3" s="1"/>
      <c r="L3" s="1"/>
      <c r="M3" s="1"/>
      <c r="N3" s="1"/>
      <c r="O3" s="1"/>
      <c r="P3" s="1"/>
      <c r="Q3" s="1"/>
      <c r="R3" s="1"/>
      <c r="S3" s="1"/>
      <c r="T3" s="1"/>
      <c r="U3" s="1"/>
      <c r="V3" s="1"/>
      <c r="W3" s="1"/>
      <c r="X3" s="1"/>
      <c r="Y3" s="1"/>
      <c r="Z3" s="1"/>
      <c r="AA3" s="1"/>
      <c r="AB3" s="1"/>
    </row>
    <row r="4">
      <c r="A4" s="4"/>
      <c r="B4" s="5"/>
      <c r="C4" s="6" t="s">
        <v>1</v>
      </c>
      <c r="D4" s="6" t="s">
        <v>2</v>
      </c>
      <c r="E4" s="6" t="s">
        <v>3</v>
      </c>
      <c r="F4" s="6" t="s">
        <v>4</v>
      </c>
      <c r="G4" s="7" t="s">
        <v>5</v>
      </c>
      <c r="H4" s="6" t="s">
        <v>6</v>
      </c>
      <c r="I4" s="8"/>
      <c r="J4" s="8" t="s">
        <v>7</v>
      </c>
      <c r="K4" s="1"/>
      <c r="L4" s="1"/>
      <c r="M4" s="1"/>
      <c r="N4" s="1"/>
      <c r="O4" s="1"/>
      <c r="P4" s="1"/>
      <c r="Q4" s="1"/>
      <c r="R4" s="1"/>
      <c r="S4" s="1"/>
      <c r="T4" s="1"/>
      <c r="U4" s="1"/>
      <c r="V4" s="1"/>
      <c r="W4" s="1"/>
      <c r="X4" s="1"/>
      <c r="Y4" s="1"/>
      <c r="Z4" s="1"/>
      <c r="AA4" s="1"/>
      <c r="AB4" s="1"/>
    </row>
    <row r="5">
      <c r="A5" s="4"/>
      <c r="B5" s="9" t="s">
        <v>8</v>
      </c>
      <c r="C5" s="10" t="s">
        <v>9</v>
      </c>
      <c r="D5" s="11" t="s">
        <v>10</v>
      </c>
      <c r="E5" s="12" t="s">
        <v>11</v>
      </c>
      <c r="F5" s="13">
        <f>'Product Milestones'!D27</f>
        <v>63</v>
      </c>
      <c r="G5" s="14" t="s">
        <v>12</v>
      </c>
      <c r="H5" s="15">
        <v>45159.0</v>
      </c>
      <c r="I5" s="8"/>
      <c r="J5" s="8" t="s">
        <v>13</v>
      </c>
      <c r="K5" s="1"/>
      <c r="L5" s="1"/>
      <c r="M5" s="1"/>
      <c r="N5" s="1"/>
      <c r="O5" s="1"/>
      <c r="P5" s="1"/>
      <c r="Q5" s="1"/>
      <c r="R5" s="1"/>
      <c r="S5" s="1"/>
      <c r="T5" s="1"/>
      <c r="U5" s="1"/>
      <c r="V5" s="1"/>
      <c r="W5" s="1"/>
      <c r="X5" s="1"/>
      <c r="Y5" s="1"/>
      <c r="Z5" s="1"/>
      <c r="AA5" s="1"/>
      <c r="AB5" s="1"/>
    </row>
    <row r="6">
      <c r="A6" s="4"/>
      <c r="B6" s="16"/>
      <c r="C6" s="17" t="s">
        <v>9</v>
      </c>
      <c r="D6" s="18" t="s">
        <v>14</v>
      </c>
      <c r="E6" s="19" t="s">
        <v>15</v>
      </c>
      <c r="F6" s="20">
        <v>0.0</v>
      </c>
      <c r="G6" s="21" t="s">
        <v>16</v>
      </c>
      <c r="H6" s="22">
        <v>45159.0</v>
      </c>
      <c r="I6" s="1"/>
      <c r="J6" s="1"/>
      <c r="K6" s="1"/>
      <c r="L6" s="1"/>
      <c r="M6" s="1"/>
      <c r="N6" s="1"/>
      <c r="O6" s="1"/>
      <c r="P6" s="1"/>
      <c r="Q6" s="1"/>
      <c r="R6" s="1"/>
      <c r="S6" s="1"/>
      <c r="T6" s="1"/>
      <c r="U6" s="1"/>
      <c r="V6" s="1"/>
      <c r="W6" s="1"/>
      <c r="X6" s="1"/>
      <c r="Y6" s="1"/>
      <c r="Z6" s="1"/>
      <c r="AA6" s="1"/>
      <c r="AB6" s="1"/>
    </row>
    <row r="7">
      <c r="A7" s="4"/>
      <c r="B7" s="16"/>
      <c r="C7" s="17" t="s">
        <v>9</v>
      </c>
      <c r="D7" s="18" t="s">
        <v>17</v>
      </c>
      <c r="E7" s="19" t="s">
        <v>18</v>
      </c>
      <c r="F7" s="19">
        <v>4.0</v>
      </c>
      <c r="G7" s="21" t="s">
        <v>19</v>
      </c>
      <c r="H7" s="22">
        <v>45159.0</v>
      </c>
      <c r="I7" s="1"/>
      <c r="J7" s="1"/>
      <c r="K7" s="1"/>
      <c r="L7" s="1"/>
      <c r="M7" s="1"/>
      <c r="N7" s="1"/>
      <c r="O7" s="1"/>
      <c r="P7" s="1"/>
      <c r="Q7" s="1"/>
      <c r="R7" s="1"/>
      <c r="S7" s="1"/>
      <c r="T7" s="1"/>
      <c r="U7" s="1"/>
      <c r="V7" s="1"/>
      <c r="W7" s="1"/>
      <c r="X7" s="1"/>
      <c r="Y7" s="1"/>
      <c r="Z7" s="1"/>
      <c r="AA7" s="1"/>
      <c r="AB7" s="1"/>
    </row>
    <row r="8">
      <c r="A8" s="4"/>
      <c r="B8" s="16"/>
      <c r="C8" s="17" t="s">
        <v>20</v>
      </c>
      <c r="D8" s="19" t="s">
        <v>21</v>
      </c>
      <c r="E8" s="19" t="s">
        <v>22</v>
      </c>
      <c r="F8" s="19">
        <v>1.0</v>
      </c>
      <c r="G8" s="17" t="s">
        <v>23</v>
      </c>
      <c r="H8" s="22">
        <v>45159.0</v>
      </c>
      <c r="I8" s="1"/>
      <c r="J8" s="1"/>
      <c r="K8" s="1"/>
      <c r="L8" s="1"/>
      <c r="M8" s="1"/>
      <c r="N8" s="1"/>
      <c r="O8" s="1"/>
      <c r="P8" s="1"/>
      <c r="Q8" s="1"/>
      <c r="R8" s="1"/>
      <c r="S8" s="1"/>
      <c r="T8" s="1"/>
      <c r="U8" s="1"/>
      <c r="V8" s="1"/>
      <c r="W8" s="1"/>
      <c r="X8" s="1"/>
      <c r="Y8" s="1"/>
      <c r="Z8" s="1"/>
      <c r="AA8" s="1"/>
      <c r="AB8" s="1"/>
    </row>
    <row r="9">
      <c r="A9" s="4"/>
      <c r="B9" s="16"/>
      <c r="C9" s="17" t="s">
        <v>24</v>
      </c>
      <c r="D9" s="18" t="s">
        <v>25</v>
      </c>
      <c r="E9" s="19" t="s">
        <v>22</v>
      </c>
      <c r="F9" s="20">
        <v>143000.0</v>
      </c>
      <c r="G9" s="17" t="s">
        <v>23</v>
      </c>
      <c r="H9" s="22">
        <v>45159.0</v>
      </c>
      <c r="I9" s="1"/>
      <c r="J9" s="1"/>
      <c r="K9" s="1"/>
      <c r="L9" s="1"/>
      <c r="M9" s="1"/>
      <c r="N9" s="1"/>
      <c r="O9" s="1"/>
      <c r="P9" s="1"/>
      <c r="Q9" s="1"/>
      <c r="R9" s="1"/>
      <c r="S9" s="1"/>
      <c r="T9" s="1"/>
      <c r="U9" s="1"/>
      <c r="V9" s="1"/>
      <c r="W9" s="1"/>
      <c r="X9" s="1"/>
      <c r="Y9" s="1"/>
      <c r="Z9" s="1"/>
      <c r="AA9" s="1"/>
      <c r="AB9" s="1"/>
    </row>
    <row r="10">
      <c r="A10" s="4"/>
      <c r="B10" s="16"/>
      <c r="C10" s="10" t="s">
        <v>24</v>
      </c>
      <c r="D10" s="12" t="s">
        <v>26</v>
      </c>
      <c r="E10" s="12" t="s">
        <v>27</v>
      </c>
      <c r="F10" s="12">
        <v>79.0</v>
      </c>
      <c r="G10" s="14" t="s">
        <v>28</v>
      </c>
      <c r="H10" s="15">
        <v>45159.0</v>
      </c>
      <c r="I10" s="1"/>
      <c r="J10" s="1"/>
      <c r="K10" s="1"/>
      <c r="L10" s="1"/>
      <c r="M10" s="1"/>
      <c r="N10" s="1"/>
      <c r="O10" s="1"/>
      <c r="P10" s="1"/>
      <c r="Q10" s="1"/>
      <c r="R10" s="1"/>
      <c r="S10" s="1"/>
      <c r="T10" s="1"/>
      <c r="U10" s="1"/>
      <c r="V10" s="1"/>
      <c r="W10" s="1"/>
      <c r="X10" s="1"/>
      <c r="Y10" s="1"/>
      <c r="Z10" s="1"/>
      <c r="AA10" s="1"/>
      <c r="AB10" s="1"/>
    </row>
    <row r="11">
      <c r="A11" s="4"/>
      <c r="B11" s="16"/>
      <c r="C11" s="23" t="s">
        <v>29</v>
      </c>
      <c r="D11" s="19" t="s">
        <v>30</v>
      </c>
      <c r="E11" s="19" t="s">
        <v>27</v>
      </c>
      <c r="F11" s="19">
        <v>170.0</v>
      </c>
      <c r="G11" s="21" t="s">
        <v>31</v>
      </c>
      <c r="H11" s="22">
        <v>45159.0</v>
      </c>
      <c r="I11" s="1"/>
      <c r="J11" s="1"/>
      <c r="K11" s="1"/>
      <c r="L11" s="1"/>
      <c r="M11" s="1"/>
      <c r="N11" s="1"/>
      <c r="O11" s="1"/>
      <c r="P11" s="1"/>
      <c r="Q11" s="1"/>
      <c r="R11" s="1"/>
      <c r="S11" s="1"/>
      <c r="T11" s="1"/>
      <c r="U11" s="1"/>
      <c r="V11" s="1"/>
      <c r="W11" s="1"/>
      <c r="X11" s="1"/>
      <c r="Y11" s="1"/>
      <c r="Z11" s="1"/>
      <c r="AA11" s="1"/>
      <c r="AB11" s="1"/>
    </row>
    <row r="12">
      <c r="A12" s="4"/>
      <c r="B12" s="24"/>
      <c r="C12" s="17" t="s">
        <v>32</v>
      </c>
      <c r="D12" s="19" t="s">
        <v>33</v>
      </c>
      <c r="E12" s="19" t="s">
        <v>34</v>
      </c>
      <c r="F12" s="19" t="s">
        <v>34</v>
      </c>
      <c r="G12" s="19" t="s">
        <v>34</v>
      </c>
      <c r="H12" s="19" t="s">
        <v>34</v>
      </c>
      <c r="I12" s="1"/>
      <c r="J12" s="1"/>
      <c r="K12" s="1"/>
      <c r="L12" s="1"/>
      <c r="M12" s="1"/>
      <c r="N12" s="1"/>
      <c r="O12" s="1"/>
      <c r="P12" s="1"/>
      <c r="Q12" s="1"/>
      <c r="R12" s="1"/>
      <c r="S12" s="1"/>
      <c r="T12" s="1"/>
      <c r="U12" s="1"/>
      <c r="V12" s="1"/>
      <c r="W12" s="1"/>
      <c r="X12" s="1"/>
      <c r="Y12" s="1"/>
      <c r="Z12" s="1"/>
      <c r="AA12" s="1"/>
      <c r="AB12" s="1"/>
    </row>
    <row r="13">
      <c r="A13" s="4"/>
      <c r="B13" s="9" t="s">
        <v>35</v>
      </c>
      <c r="C13" s="10" t="s">
        <v>32</v>
      </c>
      <c r="D13" s="12" t="s">
        <v>36</v>
      </c>
      <c r="E13" s="12" t="s">
        <v>22</v>
      </c>
      <c r="F13" s="12">
        <v>26.0</v>
      </c>
      <c r="G13" s="14" t="s">
        <v>37</v>
      </c>
      <c r="H13" s="15">
        <v>45159.0</v>
      </c>
      <c r="I13" s="1"/>
      <c r="J13" s="1"/>
      <c r="K13" s="1"/>
      <c r="L13" s="1"/>
      <c r="M13" s="1"/>
      <c r="N13" s="1"/>
      <c r="O13" s="1"/>
      <c r="P13" s="1"/>
      <c r="Q13" s="1"/>
      <c r="R13" s="1"/>
      <c r="S13" s="1"/>
      <c r="T13" s="1"/>
      <c r="U13" s="1"/>
      <c r="V13" s="1"/>
      <c r="W13" s="1"/>
      <c r="X13" s="1"/>
      <c r="Y13" s="1"/>
      <c r="Z13" s="1"/>
      <c r="AA13" s="1"/>
      <c r="AB13" s="1"/>
    </row>
    <row r="14">
      <c r="A14" s="4"/>
      <c r="B14" s="16"/>
      <c r="C14" s="17" t="s">
        <v>32</v>
      </c>
      <c r="D14" s="18" t="s">
        <v>38</v>
      </c>
      <c r="E14" s="19" t="s">
        <v>22</v>
      </c>
      <c r="F14" s="19">
        <v>8.0</v>
      </c>
      <c r="G14" s="25" t="s">
        <v>37</v>
      </c>
      <c r="H14" s="22">
        <v>45159.0</v>
      </c>
      <c r="I14" s="1"/>
      <c r="J14" s="1"/>
      <c r="K14" s="1"/>
      <c r="L14" s="1"/>
      <c r="M14" s="1"/>
      <c r="N14" s="1"/>
      <c r="O14" s="1"/>
      <c r="P14" s="1"/>
      <c r="Q14" s="1"/>
      <c r="R14" s="1"/>
      <c r="S14" s="1"/>
      <c r="T14" s="1"/>
      <c r="U14" s="1"/>
      <c r="V14" s="1"/>
      <c r="W14" s="1"/>
      <c r="X14" s="1"/>
      <c r="Y14" s="1"/>
      <c r="Z14" s="1"/>
      <c r="AA14" s="1"/>
      <c r="AB14" s="1"/>
    </row>
    <row r="15">
      <c r="A15" s="4"/>
      <c r="B15" s="16"/>
      <c r="C15" s="17" t="s">
        <v>32</v>
      </c>
      <c r="D15" s="18" t="s">
        <v>39</v>
      </c>
      <c r="E15" s="19" t="s">
        <v>22</v>
      </c>
      <c r="F15" s="19">
        <v>3.0</v>
      </c>
      <c r="G15" s="25" t="s">
        <v>37</v>
      </c>
      <c r="H15" s="22">
        <v>45159.0</v>
      </c>
      <c r="I15" s="1"/>
      <c r="J15" s="1"/>
      <c r="K15" s="1"/>
      <c r="L15" s="1"/>
      <c r="M15" s="1"/>
      <c r="N15" s="1"/>
      <c r="O15" s="1"/>
      <c r="P15" s="1"/>
      <c r="Q15" s="1"/>
      <c r="R15" s="1"/>
      <c r="S15" s="1"/>
      <c r="T15" s="1"/>
      <c r="U15" s="1"/>
      <c r="V15" s="1"/>
      <c r="W15" s="1"/>
      <c r="X15" s="1"/>
      <c r="Y15" s="1"/>
      <c r="Z15" s="1"/>
      <c r="AA15" s="1"/>
      <c r="AB15" s="1"/>
    </row>
    <row r="16">
      <c r="A16" s="4"/>
      <c r="B16" s="16"/>
      <c r="C16" s="23" t="s">
        <v>29</v>
      </c>
      <c r="D16" s="18" t="s">
        <v>40</v>
      </c>
      <c r="E16" s="19" t="s">
        <v>15</v>
      </c>
      <c r="F16" s="19">
        <v>13.0</v>
      </c>
      <c r="G16" s="21" t="s">
        <v>16</v>
      </c>
      <c r="H16" s="22">
        <v>45159.0</v>
      </c>
      <c r="I16" s="1"/>
      <c r="J16" s="1"/>
      <c r="K16" s="1"/>
      <c r="L16" s="1"/>
      <c r="M16" s="1"/>
      <c r="N16" s="1"/>
      <c r="O16" s="1"/>
      <c r="P16" s="1"/>
      <c r="Q16" s="1"/>
      <c r="R16" s="1"/>
      <c r="S16" s="1"/>
      <c r="T16" s="1"/>
      <c r="U16" s="1"/>
      <c r="V16" s="1"/>
      <c r="W16" s="1"/>
      <c r="X16" s="1"/>
      <c r="Y16" s="1"/>
      <c r="Z16" s="1"/>
      <c r="AA16" s="1"/>
      <c r="AB16" s="1"/>
    </row>
    <row r="17">
      <c r="A17" s="4"/>
      <c r="B17" s="16"/>
      <c r="C17" s="23" t="s">
        <v>29</v>
      </c>
      <c r="D17" s="18" t="s">
        <v>41</v>
      </c>
      <c r="E17" s="19" t="s">
        <v>15</v>
      </c>
      <c r="F17" s="19" t="s">
        <v>34</v>
      </c>
      <c r="G17" s="21" t="s">
        <v>16</v>
      </c>
      <c r="H17" s="22">
        <v>45159.0</v>
      </c>
      <c r="I17" s="1"/>
      <c r="J17" s="1"/>
      <c r="K17" s="1"/>
      <c r="L17" s="1"/>
      <c r="M17" s="1"/>
      <c r="N17" s="1"/>
      <c r="O17" s="1"/>
      <c r="P17" s="1"/>
      <c r="Q17" s="1"/>
      <c r="R17" s="1"/>
      <c r="S17" s="1"/>
      <c r="T17" s="1"/>
      <c r="U17" s="1"/>
      <c r="V17" s="1"/>
      <c r="W17" s="1"/>
      <c r="X17" s="1"/>
      <c r="Y17" s="1"/>
      <c r="Z17" s="1"/>
      <c r="AA17" s="1"/>
      <c r="AB17" s="1"/>
    </row>
    <row r="18">
      <c r="A18" s="4"/>
      <c r="B18" s="16"/>
      <c r="C18" s="23" t="s">
        <v>29</v>
      </c>
      <c r="D18" s="19" t="s">
        <v>42</v>
      </c>
      <c r="E18" s="19" t="s">
        <v>43</v>
      </c>
      <c r="F18" s="20">
        <v>0.0</v>
      </c>
      <c r="G18" s="17" t="s">
        <v>23</v>
      </c>
      <c r="H18" s="22">
        <v>45159.0</v>
      </c>
      <c r="I18" s="1"/>
      <c r="J18" s="1"/>
      <c r="K18" s="1"/>
      <c r="L18" s="1"/>
      <c r="M18" s="1"/>
      <c r="N18" s="1"/>
      <c r="O18" s="1"/>
      <c r="P18" s="1"/>
      <c r="Q18" s="1"/>
      <c r="R18" s="1"/>
      <c r="S18" s="1"/>
      <c r="T18" s="1"/>
      <c r="U18" s="1"/>
      <c r="V18" s="1"/>
      <c r="W18" s="1"/>
      <c r="X18" s="1"/>
      <c r="Y18" s="1"/>
      <c r="Z18" s="1"/>
      <c r="AA18" s="1"/>
      <c r="AB18" s="1"/>
    </row>
    <row r="19">
      <c r="A19" s="4"/>
      <c r="B19" s="16"/>
      <c r="C19" s="17" t="s">
        <v>44</v>
      </c>
      <c r="D19" s="19" t="s">
        <v>45</v>
      </c>
      <c r="E19" s="19" t="s">
        <v>34</v>
      </c>
      <c r="F19" s="19" t="s">
        <v>34</v>
      </c>
      <c r="G19" s="19" t="s">
        <v>34</v>
      </c>
      <c r="H19" s="19" t="s">
        <v>34</v>
      </c>
      <c r="I19" s="1"/>
      <c r="J19" s="1"/>
      <c r="K19" s="1"/>
      <c r="L19" s="1"/>
      <c r="M19" s="1"/>
      <c r="N19" s="1"/>
      <c r="O19" s="1"/>
      <c r="P19" s="1"/>
      <c r="Q19" s="1"/>
      <c r="R19" s="1"/>
      <c r="S19" s="1"/>
      <c r="T19" s="1"/>
      <c r="U19" s="1"/>
      <c r="V19" s="1"/>
      <c r="W19" s="1"/>
      <c r="X19" s="1"/>
      <c r="Y19" s="1"/>
      <c r="Z19" s="1"/>
      <c r="AA19" s="1"/>
      <c r="AB19" s="1"/>
    </row>
    <row r="20">
      <c r="A20" s="4"/>
      <c r="B20" s="24"/>
      <c r="C20" s="17" t="s">
        <v>46</v>
      </c>
      <c r="D20" s="19" t="s">
        <v>47</v>
      </c>
      <c r="E20" s="19" t="s">
        <v>34</v>
      </c>
      <c r="F20" s="19" t="s">
        <v>34</v>
      </c>
      <c r="G20" s="19" t="s">
        <v>34</v>
      </c>
      <c r="H20" s="19" t="s">
        <v>34</v>
      </c>
      <c r="I20" s="1"/>
      <c r="J20" s="1"/>
      <c r="K20" s="1"/>
      <c r="L20" s="1"/>
      <c r="M20" s="1"/>
      <c r="N20" s="1"/>
      <c r="O20" s="1"/>
      <c r="P20" s="1"/>
      <c r="Q20" s="1"/>
      <c r="R20" s="1"/>
      <c r="S20" s="1"/>
      <c r="T20" s="1"/>
      <c r="U20" s="1"/>
      <c r="V20" s="1"/>
      <c r="W20" s="1"/>
      <c r="X20" s="1"/>
      <c r="Y20" s="1"/>
      <c r="Z20" s="1"/>
      <c r="AA20" s="1"/>
      <c r="AB20" s="1"/>
    </row>
    <row r="21">
      <c r="A21" s="4"/>
      <c r="B21" s="26" t="s">
        <v>48</v>
      </c>
      <c r="C21" s="27" t="s">
        <v>49</v>
      </c>
      <c r="D21" s="18" t="s">
        <v>50</v>
      </c>
      <c r="E21" s="19" t="s">
        <v>34</v>
      </c>
      <c r="F21" s="19" t="s">
        <v>34</v>
      </c>
      <c r="G21" s="19" t="s">
        <v>34</v>
      </c>
      <c r="H21" s="19" t="s">
        <v>34</v>
      </c>
      <c r="I21" s="1"/>
      <c r="J21" s="1"/>
      <c r="K21" s="1"/>
      <c r="L21" s="1"/>
      <c r="M21" s="1"/>
      <c r="N21" s="1"/>
      <c r="O21" s="1"/>
      <c r="P21" s="1"/>
      <c r="Q21" s="1"/>
      <c r="R21" s="1"/>
      <c r="S21" s="1"/>
      <c r="T21" s="1"/>
      <c r="U21" s="1"/>
      <c r="V21" s="1"/>
      <c r="W21" s="1"/>
      <c r="X21" s="1"/>
      <c r="Y21" s="1"/>
      <c r="Z21" s="1"/>
      <c r="AA21" s="1"/>
      <c r="AB21" s="1"/>
    </row>
    <row r="22">
      <c r="A22" s="4"/>
      <c r="B22" s="16"/>
      <c r="C22" s="17" t="s">
        <v>51</v>
      </c>
      <c r="D22" s="18" t="s">
        <v>52</v>
      </c>
      <c r="E22" s="19" t="s">
        <v>53</v>
      </c>
      <c r="F22" s="19">
        <v>6.0</v>
      </c>
      <c r="G22" s="21" t="s">
        <v>54</v>
      </c>
      <c r="H22" s="22">
        <v>45159.0</v>
      </c>
      <c r="I22" s="1"/>
      <c r="J22" s="1"/>
      <c r="K22" s="1"/>
      <c r="L22" s="1"/>
      <c r="M22" s="1"/>
      <c r="N22" s="1"/>
      <c r="O22" s="1"/>
      <c r="P22" s="1"/>
      <c r="Q22" s="1"/>
      <c r="R22" s="1"/>
      <c r="S22" s="1"/>
      <c r="T22" s="1"/>
      <c r="U22" s="1"/>
      <c r="V22" s="1"/>
      <c r="W22" s="1"/>
      <c r="X22" s="1"/>
      <c r="Y22" s="1"/>
      <c r="Z22" s="1"/>
      <c r="AA22" s="1"/>
      <c r="AB22" s="1"/>
    </row>
    <row r="23">
      <c r="A23" s="4"/>
      <c r="B23" s="16"/>
      <c r="C23" s="17" t="s">
        <v>55</v>
      </c>
      <c r="D23" s="18" t="s">
        <v>56</v>
      </c>
      <c r="E23" s="19" t="s">
        <v>34</v>
      </c>
      <c r="F23" s="19" t="s">
        <v>34</v>
      </c>
      <c r="G23" s="19" t="s">
        <v>34</v>
      </c>
      <c r="H23" s="19" t="s">
        <v>34</v>
      </c>
      <c r="I23" s="1"/>
      <c r="J23" s="1"/>
      <c r="K23" s="1"/>
      <c r="L23" s="1"/>
      <c r="M23" s="1"/>
      <c r="N23" s="1"/>
      <c r="O23" s="1"/>
      <c r="P23" s="1"/>
      <c r="Q23" s="1"/>
      <c r="R23" s="1"/>
      <c r="S23" s="1"/>
      <c r="T23" s="1"/>
      <c r="U23" s="1"/>
      <c r="V23" s="1"/>
      <c r="W23" s="1"/>
      <c r="X23" s="1"/>
      <c r="Y23" s="1"/>
      <c r="Z23" s="1"/>
      <c r="AA23" s="1"/>
      <c r="AB23" s="1"/>
    </row>
    <row r="24">
      <c r="A24" s="1"/>
      <c r="B24" s="16"/>
      <c r="C24" s="17" t="s">
        <v>57</v>
      </c>
      <c r="D24" s="19" t="s">
        <v>58</v>
      </c>
      <c r="E24" s="19" t="s">
        <v>34</v>
      </c>
      <c r="F24" s="19" t="s">
        <v>34</v>
      </c>
      <c r="G24" s="19" t="s">
        <v>34</v>
      </c>
      <c r="H24" s="19" t="s">
        <v>34</v>
      </c>
      <c r="I24" s="1"/>
      <c r="J24" s="1"/>
      <c r="K24" s="1"/>
      <c r="L24" s="1"/>
      <c r="M24" s="1"/>
      <c r="N24" s="1"/>
      <c r="O24" s="1"/>
      <c r="P24" s="1"/>
      <c r="Q24" s="1"/>
      <c r="R24" s="1"/>
      <c r="S24" s="1"/>
      <c r="T24" s="1"/>
      <c r="U24" s="1"/>
      <c r="V24" s="1"/>
      <c r="W24" s="1"/>
      <c r="X24" s="1"/>
      <c r="Y24" s="1"/>
      <c r="Z24" s="1"/>
      <c r="AA24" s="1"/>
      <c r="AB24" s="1"/>
    </row>
    <row r="25">
      <c r="A25" s="1"/>
      <c r="B25" s="16"/>
      <c r="C25" s="17" t="s">
        <v>59</v>
      </c>
      <c r="D25" s="19" t="s">
        <v>60</v>
      </c>
      <c r="E25" s="19" t="s">
        <v>34</v>
      </c>
      <c r="F25" s="19" t="s">
        <v>34</v>
      </c>
      <c r="G25" s="19" t="s">
        <v>34</v>
      </c>
      <c r="H25" s="19" t="s">
        <v>34</v>
      </c>
      <c r="I25" s="1"/>
      <c r="J25" s="1"/>
      <c r="K25" s="1"/>
      <c r="L25" s="1"/>
      <c r="M25" s="1"/>
      <c r="N25" s="1"/>
      <c r="O25" s="1"/>
      <c r="P25" s="1"/>
      <c r="Q25" s="1"/>
      <c r="R25" s="1"/>
      <c r="S25" s="1"/>
      <c r="T25" s="1"/>
      <c r="U25" s="1"/>
      <c r="V25" s="1"/>
      <c r="W25" s="1"/>
      <c r="X25" s="1"/>
      <c r="Y25" s="1"/>
      <c r="Z25" s="1"/>
      <c r="AA25" s="1"/>
      <c r="AB25" s="1"/>
    </row>
    <row r="26">
      <c r="A26" s="1"/>
      <c r="B26" s="24"/>
      <c r="C26" s="17" t="s">
        <v>61</v>
      </c>
      <c r="D26" s="19" t="s">
        <v>62</v>
      </c>
      <c r="E26" s="19" t="s">
        <v>34</v>
      </c>
      <c r="F26" s="19" t="s">
        <v>34</v>
      </c>
      <c r="G26" s="19" t="s">
        <v>34</v>
      </c>
      <c r="H26" s="19" t="s">
        <v>34</v>
      </c>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2"/>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2"/>
      <c r="H28" s="1"/>
      <c r="I28" s="1"/>
      <c r="J28" s="1"/>
      <c r="K28" s="1"/>
      <c r="L28" s="1"/>
      <c r="M28" s="1"/>
      <c r="N28" s="1"/>
      <c r="O28" s="1"/>
      <c r="P28" s="1"/>
      <c r="Q28" s="1"/>
      <c r="R28" s="1"/>
      <c r="S28" s="1"/>
      <c r="T28" s="1"/>
      <c r="U28" s="1"/>
      <c r="V28" s="1"/>
      <c r="W28" s="1"/>
      <c r="X28" s="1"/>
      <c r="Y28" s="1"/>
      <c r="Z28" s="1"/>
      <c r="AA28" s="1"/>
      <c r="AB28" s="1"/>
    </row>
    <row r="29">
      <c r="A29" s="1"/>
      <c r="B29" s="28" t="s">
        <v>1</v>
      </c>
      <c r="C29" s="28" t="s">
        <v>63</v>
      </c>
      <c r="D29" s="28" t="s">
        <v>64</v>
      </c>
      <c r="E29" s="28" t="s">
        <v>65</v>
      </c>
      <c r="F29" s="28" t="s">
        <v>66</v>
      </c>
      <c r="G29" s="2"/>
      <c r="H29" s="1"/>
      <c r="I29" s="1"/>
      <c r="J29" s="1"/>
      <c r="K29" s="1"/>
      <c r="L29" s="1"/>
      <c r="M29" s="1"/>
      <c r="N29" s="1"/>
      <c r="O29" s="1"/>
      <c r="P29" s="1"/>
      <c r="Q29" s="1"/>
      <c r="R29" s="1"/>
      <c r="S29" s="1"/>
      <c r="T29" s="1"/>
      <c r="U29" s="1"/>
      <c r="V29" s="1"/>
      <c r="W29" s="1"/>
      <c r="X29" s="1"/>
      <c r="Y29" s="1"/>
      <c r="Z29" s="1"/>
      <c r="AA29" s="1"/>
      <c r="AB29" s="1"/>
    </row>
    <row r="30">
      <c r="A30" s="1"/>
      <c r="B30" s="29" t="s">
        <v>9</v>
      </c>
      <c r="C30" s="29" t="s">
        <v>11</v>
      </c>
      <c r="D30" s="29"/>
      <c r="E30" s="29"/>
      <c r="F30" s="29"/>
      <c r="G30" s="2"/>
      <c r="H30" s="1"/>
      <c r="I30" s="1"/>
      <c r="J30" s="1"/>
      <c r="K30" s="1"/>
      <c r="L30" s="1"/>
      <c r="M30" s="1"/>
      <c r="N30" s="1"/>
      <c r="O30" s="1"/>
      <c r="P30" s="1"/>
      <c r="Q30" s="1"/>
      <c r="R30" s="1"/>
      <c r="S30" s="1"/>
      <c r="T30" s="1"/>
      <c r="U30" s="1"/>
      <c r="V30" s="1"/>
      <c r="W30" s="1"/>
      <c r="X30" s="1"/>
      <c r="Y30" s="1"/>
      <c r="Z30" s="1"/>
      <c r="AA30" s="1"/>
      <c r="AB30" s="1"/>
    </row>
    <row r="31">
      <c r="A31" s="1"/>
      <c r="B31" s="29" t="s">
        <v>67</v>
      </c>
      <c r="C31" s="29" t="s">
        <v>68</v>
      </c>
      <c r="D31" s="29" t="s">
        <v>69</v>
      </c>
      <c r="E31" s="29" t="s">
        <v>70</v>
      </c>
      <c r="F31" s="29" t="s">
        <v>71</v>
      </c>
      <c r="G31" s="2"/>
      <c r="H31" s="1"/>
      <c r="I31" s="1"/>
      <c r="J31" s="1"/>
      <c r="K31" s="1"/>
      <c r="L31" s="1"/>
      <c r="M31" s="1"/>
      <c r="N31" s="1"/>
      <c r="O31" s="1"/>
      <c r="P31" s="1"/>
      <c r="Q31" s="1"/>
      <c r="R31" s="1"/>
      <c r="S31" s="1"/>
      <c r="T31" s="1"/>
      <c r="U31" s="1"/>
      <c r="V31" s="1"/>
      <c r="W31" s="1"/>
      <c r="X31" s="1"/>
      <c r="Y31" s="1"/>
      <c r="Z31" s="1"/>
      <c r="AA31" s="1"/>
      <c r="AB31" s="1"/>
    </row>
    <row r="32">
      <c r="A32" s="1"/>
      <c r="B32" s="29" t="s">
        <v>29</v>
      </c>
      <c r="C32" s="29" t="s">
        <v>27</v>
      </c>
      <c r="D32" s="29" t="s">
        <v>72</v>
      </c>
      <c r="E32" s="29" t="s">
        <v>73</v>
      </c>
      <c r="F32" s="29" t="s">
        <v>74</v>
      </c>
      <c r="G32" s="2"/>
      <c r="H32" s="1"/>
      <c r="I32" s="1"/>
      <c r="J32" s="1"/>
      <c r="K32" s="1"/>
      <c r="L32" s="1"/>
      <c r="M32" s="1"/>
      <c r="N32" s="1"/>
      <c r="O32" s="1"/>
      <c r="P32" s="1"/>
      <c r="Q32" s="1"/>
      <c r="R32" s="1"/>
      <c r="S32" s="1"/>
      <c r="T32" s="1"/>
      <c r="U32" s="1"/>
      <c r="V32" s="1"/>
      <c r="W32" s="1"/>
      <c r="X32" s="1"/>
      <c r="Y32" s="1"/>
      <c r="Z32" s="1"/>
      <c r="AA32" s="1"/>
      <c r="AB32" s="1"/>
    </row>
    <row r="33">
      <c r="A33" s="1"/>
      <c r="B33" s="29" t="s">
        <v>75</v>
      </c>
      <c r="C33" s="5"/>
      <c r="D33" s="5"/>
      <c r="E33" s="5"/>
      <c r="F33" s="5"/>
      <c r="G33" s="2"/>
      <c r="H33" s="1"/>
      <c r="I33" s="1"/>
      <c r="J33" s="1"/>
      <c r="K33" s="1"/>
      <c r="L33" s="1"/>
      <c r="M33" s="1"/>
      <c r="N33" s="1"/>
      <c r="O33" s="1"/>
      <c r="P33" s="1"/>
      <c r="Q33" s="1"/>
      <c r="R33" s="1"/>
      <c r="S33" s="1"/>
      <c r="T33" s="1"/>
      <c r="U33" s="1"/>
      <c r="V33" s="1"/>
      <c r="W33" s="1"/>
      <c r="X33" s="1"/>
      <c r="Y33" s="1"/>
      <c r="Z33" s="1"/>
      <c r="AA33" s="1"/>
      <c r="AB33" s="1"/>
    </row>
    <row r="34">
      <c r="A34" s="1"/>
      <c r="B34" s="29" t="s">
        <v>76</v>
      </c>
      <c r="C34" s="5"/>
      <c r="D34" s="5"/>
      <c r="E34" s="5"/>
      <c r="F34" s="5"/>
      <c r="G34" s="2"/>
      <c r="H34" s="1"/>
      <c r="I34" s="1"/>
      <c r="J34" s="1"/>
      <c r="K34" s="1"/>
      <c r="L34" s="1"/>
      <c r="M34" s="1"/>
      <c r="N34" s="1"/>
      <c r="O34" s="1"/>
      <c r="P34" s="1"/>
      <c r="Q34" s="1"/>
      <c r="R34" s="1"/>
      <c r="S34" s="1"/>
      <c r="T34" s="1"/>
      <c r="U34" s="1"/>
      <c r="V34" s="1"/>
      <c r="W34" s="1"/>
      <c r="X34" s="1"/>
      <c r="Y34" s="1"/>
      <c r="Z34" s="1"/>
      <c r="AA34" s="1"/>
      <c r="AB34" s="1"/>
    </row>
    <row r="35">
      <c r="A35" s="1"/>
      <c r="B35" s="29" t="s">
        <v>29</v>
      </c>
      <c r="C35" s="29" t="s">
        <v>77</v>
      </c>
      <c r="D35" s="29" t="s">
        <v>69</v>
      </c>
      <c r="E35" s="29" t="s">
        <v>70</v>
      </c>
      <c r="F35" s="29" t="s">
        <v>78</v>
      </c>
      <c r="G35" s="2"/>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2"/>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2"/>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2"/>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2"/>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2"/>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2"/>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2"/>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2"/>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2"/>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2"/>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2"/>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2"/>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2"/>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2"/>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2"/>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2"/>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2"/>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2"/>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2"/>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2"/>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2"/>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2"/>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2"/>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2"/>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2"/>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2"/>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2"/>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2"/>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2"/>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2"/>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2"/>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2"/>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2"/>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2"/>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2"/>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2"/>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2"/>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2"/>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2"/>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2"/>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2"/>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2"/>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2"/>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2"/>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2"/>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2"/>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2"/>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2"/>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2"/>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2"/>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2"/>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2"/>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2"/>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2"/>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2"/>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2"/>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2"/>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2"/>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2"/>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2"/>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2"/>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2"/>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2"/>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2"/>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2"/>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2"/>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2"/>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2"/>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2"/>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2"/>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2"/>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2"/>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2"/>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2"/>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2"/>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2"/>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2"/>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2"/>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2"/>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2"/>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2"/>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2"/>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2"/>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2"/>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2"/>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2"/>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2"/>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2"/>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2"/>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2"/>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2"/>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2"/>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2"/>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2"/>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2"/>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2"/>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2"/>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2"/>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2"/>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2"/>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2"/>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2"/>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2"/>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2"/>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2"/>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2"/>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2"/>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2"/>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2"/>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2"/>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2"/>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2"/>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2"/>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2"/>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2"/>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2"/>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2"/>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2"/>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2"/>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2"/>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2"/>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2"/>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2"/>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2"/>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2"/>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2"/>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2"/>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2"/>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2"/>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2"/>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2"/>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2"/>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2"/>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2"/>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2"/>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2"/>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2"/>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2"/>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2"/>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2"/>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2"/>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2"/>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2"/>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2"/>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2"/>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2"/>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2"/>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2"/>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2"/>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2"/>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2"/>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2"/>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2"/>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2"/>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2"/>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2"/>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2"/>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2"/>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2"/>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2"/>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2"/>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2"/>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2"/>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2"/>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2"/>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2"/>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2"/>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2"/>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2"/>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2"/>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2"/>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2"/>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2"/>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2"/>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2"/>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2"/>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2"/>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2"/>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2"/>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2"/>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2"/>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2"/>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2"/>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2"/>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2"/>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2"/>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2"/>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2"/>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2"/>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2"/>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2"/>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2"/>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2"/>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2"/>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2"/>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2"/>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2"/>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2"/>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2"/>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2"/>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2"/>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2"/>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2"/>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2"/>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2"/>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2"/>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2"/>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2"/>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2"/>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2"/>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2"/>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2"/>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2"/>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2"/>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2"/>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2"/>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2"/>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2"/>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2"/>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2"/>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2"/>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2"/>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2"/>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2"/>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2"/>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2"/>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2"/>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2"/>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2"/>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2"/>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2"/>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2"/>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2"/>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2"/>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2"/>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2"/>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2"/>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2"/>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2"/>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2"/>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2"/>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2"/>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2"/>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2"/>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2"/>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2"/>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2"/>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2"/>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2"/>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2"/>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2"/>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2"/>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2"/>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2"/>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2"/>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2"/>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2"/>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2"/>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2"/>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2"/>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2"/>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2"/>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2"/>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2"/>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2"/>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2"/>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2"/>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2"/>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2"/>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2"/>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2"/>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2"/>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2"/>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2"/>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2"/>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2"/>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2"/>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2"/>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2"/>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2"/>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2"/>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2"/>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2"/>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2"/>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2"/>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2"/>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2"/>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2"/>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2"/>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2"/>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2"/>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2"/>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2"/>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2"/>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2"/>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2"/>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2"/>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2"/>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2"/>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2"/>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2"/>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2"/>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2"/>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2"/>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2"/>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2"/>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2"/>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2"/>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2"/>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2"/>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2"/>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2"/>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2"/>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2"/>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2"/>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2"/>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2"/>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2"/>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2"/>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2"/>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2"/>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2"/>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2"/>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2"/>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2"/>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2"/>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2"/>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2"/>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2"/>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2"/>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2"/>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2"/>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2"/>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2"/>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2"/>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2"/>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2"/>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2"/>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2"/>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2"/>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2"/>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2"/>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2"/>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2"/>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2"/>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2"/>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2"/>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2"/>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2"/>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2"/>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2"/>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2"/>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2"/>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2"/>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2"/>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2"/>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2"/>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2"/>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2"/>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2"/>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2"/>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2"/>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2"/>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2"/>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2"/>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2"/>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2"/>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2"/>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2"/>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2"/>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2"/>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2"/>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2"/>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2"/>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2"/>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2"/>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2"/>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2"/>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2"/>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2"/>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2"/>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2"/>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2"/>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2"/>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2"/>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2"/>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2"/>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2"/>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2"/>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2"/>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2"/>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2"/>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2"/>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2"/>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2"/>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2"/>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2"/>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2"/>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2"/>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2"/>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2"/>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2"/>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2"/>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2"/>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2"/>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2"/>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2"/>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2"/>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2"/>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2"/>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2"/>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2"/>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2"/>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2"/>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2"/>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2"/>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2"/>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2"/>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2"/>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2"/>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2"/>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2"/>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2"/>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2"/>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2"/>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2"/>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2"/>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2"/>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2"/>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2"/>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2"/>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2"/>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2"/>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2"/>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2"/>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2"/>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2"/>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2"/>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2"/>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2"/>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2"/>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2"/>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2"/>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2"/>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2"/>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2"/>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2"/>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2"/>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2"/>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2"/>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2"/>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2"/>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2"/>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2"/>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2"/>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2"/>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2"/>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2"/>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2"/>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2"/>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2"/>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2"/>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2"/>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2"/>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2"/>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2"/>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2"/>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2"/>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2"/>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2"/>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2"/>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2"/>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2"/>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2"/>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2"/>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2"/>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2"/>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2"/>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2"/>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2"/>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2"/>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2"/>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2"/>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2"/>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2"/>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2"/>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2"/>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2"/>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2"/>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2"/>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2"/>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2"/>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2"/>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2"/>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2"/>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2"/>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2"/>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2"/>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2"/>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2"/>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2"/>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2"/>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2"/>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2"/>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2"/>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2"/>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2"/>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2"/>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2"/>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2"/>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2"/>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2"/>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2"/>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2"/>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2"/>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2"/>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2"/>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2"/>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2"/>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2"/>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2"/>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2"/>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2"/>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2"/>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2"/>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2"/>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2"/>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2"/>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2"/>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2"/>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2"/>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2"/>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2"/>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2"/>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2"/>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2"/>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2"/>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2"/>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2"/>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2"/>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2"/>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2"/>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2"/>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2"/>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2"/>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2"/>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2"/>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2"/>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2"/>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2"/>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2"/>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2"/>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2"/>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2"/>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2"/>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2"/>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2"/>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2"/>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2"/>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2"/>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2"/>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2"/>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2"/>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2"/>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2"/>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2"/>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2"/>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2"/>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2"/>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2"/>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2"/>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2"/>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2"/>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2"/>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2"/>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2"/>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2"/>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2"/>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2"/>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2"/>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2"/>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2"/>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2"/>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2"/>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2"/>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2"/>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2"/>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2"/>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2"/>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2"/>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2"/>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2"/>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2"/>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2"/>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2"/>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2"/>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2"/>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2"/>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2"/>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2"/>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2"/>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2"/>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2"/>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2"/>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2"/>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2"/>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2"/>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2"/>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2"/>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2"/>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2"/>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2"/>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2"/>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2"/>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2"/>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2"/>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2"/>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2"/>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2"/>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2"/>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2"/>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2"/>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2"/>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2"/>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2"/>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2"/>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2"/>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2"/>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2"/>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2"/>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2"/>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2"/>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2"/>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2"/>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2"/>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2"/>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2"/>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2"/>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2"/>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2"/>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2"/>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2"/>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2"/>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2"/>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2"/>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2"/>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2"/>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2"/>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2"/>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2"/>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2"/>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2"/>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2"/>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2"/>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2"/>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2"/>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2"/>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2"/>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2"/>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2"/>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2"/>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2"/>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2"/>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2"/>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2"/>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2"/>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2"/>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2"/>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2"/>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2"/>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2"/>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2"/>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2"/>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2"/>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2"/>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2"/>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2"/>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2"/>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2"/>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2"/>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2"/>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2"/>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2"/>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2"/>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2"/>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2"/>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2"/>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2"/>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2"/>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2"/>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2"/>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2"/>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2"/>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2"/>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2"/>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2"/>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2"/>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2"/>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2"/>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2"/>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2"/>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2"/>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2"/>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2"/>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2"/>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2"/>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2"/>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2"/>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2"/>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2"/>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2"/>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2"/>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2"/>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2"/>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2"/>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2"/>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2"/>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2"/>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2"/>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2"/>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2"/>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2"/>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2"/>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2"/>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2"/>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2"/>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2"/>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2"/>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2"/>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2"/>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2"/>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2"/>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2"/>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2"/>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2"/>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2"/>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2"/>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2"/>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2"/>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2"/>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2"/>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2"/>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2"/>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2"/>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2"/>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2"/>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2"/>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2"/>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2"/>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2"/>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2"/>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2"/>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2"/>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2"/>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2"/>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2"/>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2"/>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2"/>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2"/>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2"/>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2"/>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2"/>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2"/>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2"/>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2"/>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2"/>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2"/>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2"/>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2"/>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2"/>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2"/>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2"/>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2"/>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2"/>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2"/>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2"/>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2"/>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2"/>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2"/>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2"/>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2"/>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2"/>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2"/>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2"/>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2"/>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2"/>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2"/>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2"/>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2"/>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2"/>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2"/>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2"/>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2"/>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2"/>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2"/>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2"/>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2"/>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2"/>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2"/>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2"/>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2"/>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2"/>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2"/>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2"/>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2"/>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2"/>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2"/>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2"/>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2"/>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2"/>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2"/>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2"/>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2"/>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2"/>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2"/>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2"/>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2"/>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2"/>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2"/>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2"/>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2"/>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2"/>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2"/>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2"/>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2"/>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2"/>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2"/>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2"/>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2"/>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2"/>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2"/>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2"/>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2"/>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2"/>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2"/>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2"/>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2"/>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2"/>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2"/>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2"/>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2"/>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2"/>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2"/>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2"/>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2"/>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2"/>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2"/>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2"/>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2"/>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2"/>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2"/>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2"/>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2"/>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2"/>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2"/>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2"/>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2"/>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2"/>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2"/>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2"/>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2"/>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2"/>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2"/>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2"/>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2"/>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2"/>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2"/>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2"/>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2"/>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2"/>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2"/>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2"/>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2"/>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2"/>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2"/>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2"/>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2"/>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2"/>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2"/>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2"/>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2"/>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2"/>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2"/>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2"/>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2"/>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2"/>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2"/>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2"/>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2"/>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2"/>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2"/>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2"/>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2"/>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2"/>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2"/>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2"/>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2"/>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2"/>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2"/>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2"/>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2"/>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2"/>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2"/>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2"/>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2"/>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2"/>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2"/>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2"/>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2"/>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2"/>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2"/>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2"/>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2"/>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2"/>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2"/>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2"/>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2"/>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2"/>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2"/>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2"/>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2"/>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2"/>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2"/>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2"/>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2"/>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2"/>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2"/>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2"/>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2"/>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2"/>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2"/>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2"/>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2"/>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2"/>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2"/>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2"/>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2"/>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2"/>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2"/>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2"/>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2"/>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2"/>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2"/>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2"/>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2"/>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2"/>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2"/>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2"/>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2"/>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2"/>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2"/>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2"/>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2"/>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2"/>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2"/>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2"/>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2"/>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2"/>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2"/>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2"/>
      <c r="H995" s="1"/>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2"/>
      <c r="H996" s="1"/>
      <c r="I996" s="1"/>
      <c r="J996" s="1"/>
      <c r="K996" s="1"/>
      <c r="L996" s="1"/>
      <c r="M996" s="1"/>
      <c r="N996" s="1"/>
      <c r="O996" s="1"/>
      <c r="P996" s="1"/>
      <c r="Q996" s="1"/>
      <c r="R996" s="1"/>
      <c r="S996" s="1"/>
      <c r="T996" s="1"/>
      <c r="U996" s="1"/>
      <c r="V996" s="1"/>
      <c r="W996" s="1"/>
      <c r="X996" s="1"/>
      <c r="Y996" s="1"/>
      <c r="Z996" s="1"/>
      <c r="AA996" s="1"/>
      <c r="AB996" s="1"/>
    </row>
    <row r="997">
      <c r="A997" s="1"/>
      <c r="B997" s="1"/>
      <c r="C997" s="1"/>
      <c r="D997" s="1"/>
      <c r="E997" s="1"/>
      <c r="F997" s="1"/>
      <c r="G997" s="2"/>
      <c r="H997" s="1"/>
      <c r="I997" s="1"/>
      <c r="J997" s="1"/>
      <c r="K997" s="1"/>
      <c r="L997" s="1"/>
      <c r="M997" s="1"/>
      <c r="N997" s="1"/>
      <c r="O997" s="1"/>
      <c r="P997" s="1"/>
      <c r="Q997" s="1"/>
      <c r="R997" s="1"/>
      <c r="S997" s="1"/>
      <c r="T997" s="1"/>
      <c r="U997" s="1"/>
      <c r="V997" s="1"/>
      <c r="W997" s="1"/>
      <c r="X997" s="1"/>
      <c r="Y997" s="1"/>
      <c r="Z997" s="1"/>
      <c r="AA997" s="1"/>
      <c r="AB997" s="1"/>
    </row>
    <row r="998">
      <c r="A998" s="1"/>
      <c r="B998" s="1"/>
      <c r="C998" s="1"/>
      <c r="D998" s="1"/>
      <c r="E998" s="1"/>
      <c r="F998" s="1"/>
      <c r="G998" s="2"/>
      <c r="H998" s="1"/>
      <c r="I998" s="1"/>
      <c r="J998" s="1"/>
      <c r="K998" s="1"/>
      <c r="L998" s="1"/>
      <c r="M998" s="1"/>
      <c r="N998" s="1"/>
      <c r="O998" s="1"/>
      <c r="P998" s="1"/>
      <c r="Q998" s="1"/>
      <c r="R998" s="1"/>
      <c r="S998" s="1"/>
      <c r="T998" s="1"/>
      <c r="U998" s="1"/>
      <c r="V998" s="1"/>
      <c r="W998" s="1"/>
      <c r="X998" s="1"/>
      <c r="Y998" s="1"/>
      <c r="Z998" s="1"/>
      <c r="AA998" s="1"/>
      <c r="AB998" s="1"/>
    </row>
    <row r="999">
      <c r="A999" s="1"/>
      <c r="B999" s="1"/>
      <c r="C999" s="1"/>
      <c r="D999" s="1"/>
      <c r="E999" s="1"/>
      <c r="F999" s="1"/>
      <c r="G999" s="2"/>
      <c r="H999" s="1"/>
      <c r="I999" s="1"/>
      <c r="J999" s="1"/>
      <c r="K999" s="1"/>
      <c r="L999" s="1"/>
      <c r="M999" s="1"/>
      <c r="N999" s="1"/>
      <c r="O999" s="1"/>
      <c r="P999" s="1"/>
      <c r="Q999" s="1"/>
      <c r="R999" s="1"/>
      <c r="S999" s="1"/>
      <c r="T999" s="1"/>
      <c r="U999" s="1"/>
      <c r="V999" s="1"/>
      <c r="W999" s="1"/>
      <c r="X999" s="1"/>
      <c r="Y999" s="1"/>
      <c r="Z999" s="1"/>
      <c r="AA999" s="1"/>
      <c r="AB999" s="1"/>
    </row>
    <row r="1000">
      <c r="A1000" s="1"/>
      <c r="B1000" s="1"/>
      <c r="C1000" s="1"/>
      <c r="D1000" s="1"/>
      <c r="E1000" s="1"/>
      <c r="F1000" s="1"/>
      <c r="G1000" s="2"/>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1"/>
      <c r="C1001" s="1"/>
      <c r="D1001" s="1"/>
      <c r="E1001" s="1"/>
      <c r="F1001" s="1"/>
      <c r="G1001" s="2"/>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1"/>
      <c r="C1002" s="1"/>
      <c r="D1002" s="1"/>
      <c r="E1002" s="1"/>
      <c r="F1002" s="1"/>
      <c r="G1002" s="2"/>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1"/>
      <c r="C1003" s="1"/>
      <c r="D1003" s="1"/>
      <c r="E1003" s="1"/>
      <c r="F1003" s="1"/>
      <c r="G1003" s="2"/>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1"/>
      <c r="C1004" s="1"/>
      <c r="D1004" s="1"/>
      <c r="E1004" s="1"/>
      <c r="F1004" s="1"/>
      <c r="G1004" s="2"/>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1"/>
      <c r="C1005" s="1"/>
      <c r="D1005" s="1"/>
      <c r="E1005" s="1"/>
      <c r="F1005" s="1"/>
      <c r="G1005" s="2"/>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1"/>
      <c r="C1006" s="1"/>
      <c r="D1006" s="1"/>
      <c r="E1006" s="1"/>
      <c r="F1006" s="1"/>
      <c r="G1006" s="2"/>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1"/>
      <c r="C1007" s="1"/>
      <c r="D1007" s="1"/>
      <c r="E1007" s="1"/>
      <c r="F1007" s="1"/>
      <c r="G1007" s="2"/>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1"/>
      <c r="C1008" s="1"/>
      <c r="D1008" s="1"/>
      <c r="E1008" s="1"/>
      <c r="F1008" s="1"/>
      <c r="G1008" s="2"/>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1"/>
      <c r="C1009" s="1"/>
      <c r="D1009" s="1"/>
      <c r="E1009" s="1"/>
      <c r="F1009" s="1"/>
      <c r="G1009" s="2"/>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1"/>
      <c r="C1010" s="1"/>
      <c r="D1010" s="1"/>
      <c r="E1010" s="1"/>
      <c r="F1010" s="1"/>
      <c r="G1010" s="2"/>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1"/>
      <c r="C1011" s="1"/>
      <c r="D1011" s="1"/>
      <c r="E1011" s="1"/>
      <c r="F1011" s="1"/>
      <c r="G1011" s="2"/>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1"/>
      <c r="C1012" s="1"/>
      <c r="D1012" s="1"/>
      <c r="E1012" s="1"/>
      <c r="F1012" s="1"/>
      <c r="G1012" s="2"/>
      <c r="H1012" s="1"/>
      <c r="I1012" s="1"/>
      <c r="J1012" s="1"/>
      <c r="K1012" s="1"/>
      <c r="L1012" s="1"/>
      <c r="M1012" s="1"/>
      <c r="N1012" s="1"/>
      <c r="O1012" s="1"/>
      <c r="P1012" s="1"/>
      <c r="Q1012" s="1"/>
      <c r="R1012" s="1"/>
      <c r="S1012" s="1"/>
      <c r="T1012" s="1"/>
      <c r="U1012" s="1"/>
      <c r="V1012" s="1"/>
      <c r="W1012" s="1"/>
      <c r="X1012" s="1"/>
      <c r="Y1012" s="1"/>
      <c r="Z1012" s="1"/>
      <c r="AA1012" s="1"/>
      <c r="AB1012" s="1"/>
    </row>
  </sheetData>
  <mergeCells count="3">
    <mergeCell ref="B5:B12"/>
    <mergeCell ref="B13:B20"/>
    <mergeCell ref="B21:B26"/>
  </mergeCells>
  <hyperlinks>
    <hyperlink r:id="rId1" ref="G5"/>
    <hyperlink r:id="rId2" ref="G6"/>
    <hyperlink r:id="rId3" ref="G7"/>
    <hyperlink r:id="rId4" ref="G10"/>
    <hyperlink r:id="rId5" ref="G11"/>
    <hyperlink r:id="rId6" ref="G13"/>
    <hyperlink r:id="rId7" ref="G14"/>
    <hyperlink r:id="rId8" ref="G15"/>
    <hyperlink r:id="rId9" ref="G16"/>
    <hyperlink r:id="rId10" ref="G17"/>
    <hyperlink r:id="rId11" ref="G22"/>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5.0"/>
    <col customWidth="1" min="3" max="3" width="18.0"/>
    <col customWidth="1" min="4" max="4" width="39.0"/>
    <col customWidth="1" min="5" max="5" width="14.75"/>
    <col customWidth="1" min="7" max="7" width="17.88"/>
  </cols>
  <sheetData>
    <row r="2">
      <c r="B2" s="30" t="s">
        <v>79</v>
      </c>
      <c r="C2" s="30" t="s">
        <v>80</v>
      </c>
      <c r="D2" s="30" t="s">
        <v>81</v>
      </c>
      <c r="E2" s="30" t="s">
        <v>82</v>
      </c>
      <c r="G2" s="30" t="s">
        <v>83</v>
      </c>
    </row>
    <row r="3">
      <c r="B3" s="31" t="s">
        <v>84</v>
      </c>
      <c r="C3" s="31" t="s">
        <v>85</v>
      </c>
      <c r="D3" s="31" t="s">
        <v>86</v>
      </c>
      <c r="E3" s="31" t="s">
        <v>87</v>
      </c>
      <c r="G3" s="31" t="s">
        <v>87</v>
      </c>
    </row>
    <row r="4">
      <c r="B4" s="31" t="s">
        <v>88</v>
      </c>
      <c r="C4" s="31" t="s">
        <v>89</v>
      </c>
      <c r="D4" s="32"/>
      <c r="E4" s="32"/>
      <c r="G4" s="31" t="s">
        <v>90</v>
      </c>
    </row>
    <row r="5">
      <c r="B5" s="31" t="s">
        <v>88</v>
      </c>
      <c r="C5" s="31" t="s">
        <v>91</v>
      </c>
      <c r="D5" s="32"/>
      <c r="E5" s="32"/>
      <c r="G5" s="31" t="s">
        <v>92</v>
      </c>
    </row>
    <row r="6">
      <c r="B6" s="31" t="s">
        <v>88</v>
      </c>
      <c r="C6" s="31" t="s">
        <v>93</v>
      </c>
      <c r="D6" s="31" t="s">
        <v>94</v>
      </c>
      <c r="E6" s="32"/>
      <c r="G6" s="31" t="s">
        <v>95</v>
      </c>
    </row>
    <row r="7">
      <c r="B7" s="32"/>
      <c r="C7" s="32"/>
      <c r="D7" s="32"/>
      <c r="E7" s="32"/>
      <c r="G7" s="31" t="s">
        <v>96</v>
      </c>
    </row>
    <row r="8">
      <c r="B8" s="32"/>
      <c r="C8" s="32"/>
      <c r="D8" s="32"/>
      <c r="E8" s="32"/>
      <c r="G8" s="31" t="s">
        <v>97</v>
      </c>
    </row>
    <row r="9">
      <c r="B9" s="31" t="s">
        <v>98</v>
      </c>
      <c r="C9" s="31" t="s">
        <v>99</v>
      </c>
      <c r="D9" s="32"/>
      <c r="E9" s="31" t="s">
        <v>100</v>
      </c>
      <c r="G9" s="31" t="s">
        <v>101</v>
      </c>
    </row>
    <row r="10">
      <c r="B10" s="31"/>
      <c r="C10" s="31" t="s">
        <v>102</v>
      </c>
      <c r="D10" s="32"/>
      <c r="E10" s="31" t="s">
        <v>100</v>
      </c>
      <c r="G10" s="31" t="s">
        <v>103</v>
      </c>
    </row>
    <row r="11">
      <c r="B11" s="31"/>
      <c r="C11" s="31" t="s">
        <v>104</v>
      </c>
      <c r="D11" s="32"/>
      <c r="E11" s="31" t="s">
        <v>100</v>
      </c>
    </row>
    <row r="12">
      <c r="B12" s="32"/>
      <c r="C12" s="31" t="s">
        <v>105</v>
      </c>
      <c r="D12" s="32"/>
      <c r="E12" s="32"/>
    </row>
    <row r="13">
      <c r="B13" s="32"/>
      <c r="C13" s="31" t="s">
        <v>106</v>
      </c>
      <c r="D13" s="32"/>
      <c r="E13" s="32"/>
    </row>
    <row r="14">
      <c r="B14" s="32"/>
      <c r="C14" s="31" t="s">
        <v>107</v>
      </c>
      <c r="D14" s="32"/>
      <c r="E14" s="3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7.88"/>
    <col customWidth="1" min="4" max="4" width="74.38"/>
  </cols>
  <sheetData>
    <row r="2">
      <c r="D2" s="33" t="s">
        <v>108</v>
      </c>
    </row>
    <row r="3">
      <c r="B3" s="34" t="s">
        <v>109</v>
      </c>
      <c r="C3" s="35">
        <v>2.0</v>
      </c>
      <c r="D3" s="34" t="s">
        <v>110</v>
      </c>
    </row>
    <row r="4">
      <c r="B4" s="34" t="s">
        <v>111</v>
      </c>
      <c r="C4" s="36"/>
      <c r="D4" s="37"/>
    </row>
    <row r="5">
      <c r="B5" s="34" t="s">
        <v>112</v>
      </c>
      <c r="C5" s="35">
        <v>1.0</v>
      </c>
      <c r="D5" s="37"/>
    </row>
    <row r="6">
      <c r="B6" s="34" t="s">
        <v>113</v>
      </c>
      <c r="C6" s="36"/>
      <c r="D6" s="37"/>
    </row>
    <row r="7">
      <c r="B7" s="34" t="s">
        <v>114</v>
      </c>
      <c r="C7" s="36"/>
      <c r="D7" s="37"/>
    </row>
    <row r="8">
      <c r="B8" s="34" t="s">
        <v>115</v>
      </c>
      <c r="C8" s="36"/>
      <c r="D8" s="37"/>
    </row>
    <row r="9">
      <c r="B9" s="34" t="s">
        <v>116</v>
      </c>
      <c r="C9" s="35">
        <v>4.0</v>
      </c>
      <c r="D9" s="34" t="s">
        <v>117</v>
      </c>
    </row>
    <row r="10">
      <c r="B10" s="34" t="s">
        <v>24</v>
      </c>
      <c r="C10" s="35">
        <v>3.0</v>
      </c>
      <c r="D10" s="34" t="s">
        <v>118</v>
      </c>
    </row>
    <row r="11">
      <c r="B11" s="31" t="s">
        <v>119</v>
      </c>
      <c r="C11" s="36"/>
      <c r="D11" s="32"/>
    </row>
    <row r="12">
      <c r="B12" s="31" t="s">
        <v>120</v>
      </c>
      <c r="C12" s="32"/>
      <c r="D12" s="32"/>
    </row>
    <row r="13">
      <c r="B13" s="31" t="s">
        <v>94</v>
      </c>
      <c r="C13" s="32"/>
      <c r="D13" s="32"/>
    </row>
    <row r="14">
      <c r="B14" s="31" t="s">
        <v>121</v>
      </c>
      <c r="C14" s="32"/>
      <c r="D14" s="32"/>
    </row>
    <row r="15">
      <c r="B15" s="31" t="s">
        <v>122</v>
      </c>
      <c r="C15" s="32"/>
      <c r="D15" s="32"/>
    </row>
    <row r="16">
      <c r="C16" s="38">
        <f>SUM(C3:C15)</f>
        <v>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36.75"/>
    <col customWidth="1" min="5" max="5" width="16.63"/>
  </cols>
  <sheetData>
    <row r="2">
      <c r="B2" s="33" t="s">
        <v>123</v>
      </c>
      <c r="C2" s="39"/>
      <c r="D2" s="40"/>
      <c r="E2" s="33"/>
    </row>
    <row r="3">
      <c r="B3" s="33" t="s">
        <v>124</v>
      </c>
      <c r="C3" s="39"/>
      <c r="D3" s="40"/>
      <c r="E3" s="33"/>
    </row>
    <row r="4">
      <c r="B4" s="33"/>
      <c r="C4" s="39"/>
      <c r="D4" s="40"/>
      <c r="E4" s="33"/>
    </row>
    <row r="5">
      <c r="B5" s="31" t="s">
        <v>125</v>
      </c>
      <c r="C5" s="41" t="s">
        <v>36</v>
      </c>
      <c r="D5" s="19">
        <v>26.0</v>
      </c>
      <c r="E5" s="31" t="s">
        <v>22</v>
      </c>
    </row>
    <row r="6">
      <c r="B6" s="32"/>
      <c r="C6" s="42" t="s">
        <v>126</v>
      </c>
      <c r="D6" s="35">
        <v>7.0</v>
      </c>
      <c r="E6" s="31" t="s">
        <v>127</v>
      </c>
    </row>
    <row r="7">
      <c r="B7" s="32"/>
      <c r="C7" s="42" t="s">
        <v>128</v>
      </c>
      <c r="D7" s="35">
        <v>3.0</v>
      </c>
      <c r="E7" s="31" t="s">
        <v>127</v>
      </c>
    </row>
    <row r="8">
      <c r="B8" s="31"/>
      <c r="C8" s="31" t="s">
        <v>129</v>
      </c>
      <c r="D8" s="35">
        <v>0.0</v>
      </c>
      <c r="E8" s="32"/>
    </row>
    <row r="9">
      <c r="B9" s="31"/>
      <c r="C9" s="31" t="s">
        <v>130</v>
      </c>
      <c r="D9" s="35">
        <v>2.0</v>
      </c>
      <c r="E9" s="31" t="s">
        <v>131</v>
      </c>
    </row>
    <row r="10">
      <c r="B10" s="31" t="s">
        <v>132</v>
      </c>
      <c r="C10" s="31" t="s">
        <v>133</v>
      </c>
      <c r="D10" s="35">
        <v>0.0</v>
      </c>
      <c r="E10" s="31" t="s">
        <v>127</v>
      </c>
    </row>
    <row r="11">
      <c r="B11" s="32"/>
      <c r="C11" s="31"/>
      <c r="D11" s="35"/>
      <c r="E11" s="32"/>
    </row>
    <row r="12">
      <c r="B12" s="32"/>
      <c r="C12" s="31"/>
      <c r="D12" s="35"/>
      <c r="E12" s="32"/>
    </row>
    <row r="13">
      <c r="B13" s="31" t="s">
        <v>134</v>
      </c>
      <c r="C13" s="31" t="s">
        <v>135</v>
      </c>
      <c r="D13" s="43">
        <v>0.0</v>
      </c>
      <c r="E13" s="31" t="s">
        <v>136</v>
      </c>
    </row>
    <row r="14">
      <c r="B14" s="32"/>
      <c r="C14" s="31" t="s">
        <v>137</v>
      </c>
      <c r="D14" s="35">
        <v>7.0</v>
      </c>
      <c r="E14" s="31" t="s">
        <v>127</v>
      </c>
    </row>
    <row r="15">
      <c r="B15" s="32"/>
      <c r="C15" s="31"/>
      <c r="D15" s="35"/>
      <c r="E15" s="32"/>
    </row>
    <row r="16">
      <c r="B16" s="31" t="s">
        <v>138</v>
      </c>
      <c r="C16" s="31" t="s">
        <v>139</v>
      </c>
      <c r="D16" s="35">
        <v>12.0</v>
      </c>
      <c r="E16" s="31" t="s">
        <v>11</v>
      </c>
    </row>
    <row r="17">
      <c r="B17" s="32"/>
      <c r="C17" s="31" t="s">
        <v>140</v>
      </c>
      <c r="D17" s="35">
        <v>7.0</v>
      </c>
      <c r="E17" s="31" t="s">
        <v>11</v>
      </c>
    </row>
    <row r="18">
      <c r="B18" s="32"/>
      <c r="C18" s="31" t="s">
        <v>141</v>
      </c>
      <c r="D18" s="35">
        <v>1.0</v>
      </c>
      <c r="E18" s="31" t="s">
        <v>127</v>
      </c>
    </row>
    <row r="19">
      <c r="B19" s="32"/>
      <c r="C19" s="31" t="s">
        <v>142</v>
      </c>
      <c r="D19" s="35">
        <v>1.0</v>
      </c>
      <c r="E19" s="31" t="s">
        <v>127</v>
      </c>
    </row>
    <row r="20">
      <c r="B20" s="32"/>
      <c r="C20" s="31"/>
      <c r="D20" s="35"/>
      <c r="E20" s="32"/>
    </row>
    <row r="21">
      <c r="B21" s="31" t="s">
        <v>143</v>
      </c>
      <c r="C21" s="31" t="s">
        <v>144</v>
      </c>
      <c r="D21" s="35">
        <v>2.0</v>
      </c>
      <c r="E21" s="32"/>
    </row>
    <row r="22">
      <c r="B22" s="32"/>
      <c r="C22" s="31"/>
      <c r="D22" s="35"/>
      <c r="E22" s="32"/>
    </row>
    <row r="23">
      <c r="B23" s="32"/>
      <c r="C23" s="31"/>
      <c r="D23" s="35"/>
      <c r="E23" s="32"/>
    </row>
    <row r="24">
      <c r="B24" s="31" t="s">
        <v>145</v>
      </c>
      <c r="C24" s="31" t="s">
        <v>146</v>
      </c>
      <c r="D24" s="35">
        <v>13.0</v>
      </c>
      <c r="E24" s="31" t="s">
        <v>147</v>
      </c>
    </row>
    <row r="25">
      <c r="B25" s="32"/>
      <c r="C25" s="31" t="s">
        <v>148</v>
      </c>
      <c r="D25" s="35">
        <v>8.0</v>
      </c>
      <c r="E25" s="31" t="s">
        <v>127</v>
      </c>
    </row>
    <row r="26">
      <c r="B26" s="32"/>
      <c r="C26" s="31"/>
      <c r="D26" s="35"/>
      <c r="E26" s="32"/>
    </row>
    <row r="27">
      <c r="D27" s="44">
        <f>SUM(D5:D26)-D5</f>
        <v>63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48.88"/>
    <col customWidth="1" min="3" max="3" width="46.63"/>
  </cols>
  <sheetData>
    <row r="1">
      <c r="A1" s="45"/>
      <c r="B1" s="45"/>
      <c r="C1" s="46"/>
      <c r="D1" s="45"/>
      <c r="E1" s="45"/>
      <c r="F1" s="45"/>
      <c r="G1" s="45"/>
      <c r="H1" s="45"/>
      <c r="I1" s="45"/>
      <c r="J1" s="45"/>
      <c r="K1" s="45"/>
      <c r="L1" s="45"/>
      <c r="M1" s="45"/>
      <c r="N1" s="45"/>
      <c r="O1" s="45"/>
      <c r="P1" s="45"/>
      <c r="Q1" s="45"/>
      <c r="R1" s="45"/>
      <c r="S1" s="45"/>
      <c r="T1" s="45"/>
      <c r="U1" s="45"/>
      <c r="V1" s="45"/>
      <c r="W1" s="45"/>
      <c r="X1" s="45"/>
      <c r="Y1" s="45"/>
      <c r="Z1" s="45"/>
    </row>
    <row r="2">
      <c r="A2" s="45"/>
      <c r="B2" s="47" t="s">
        <v>149</v>
      </c>
      <c r="C2" s="48" t="s">
        <v>150</v>
      </c>
      <c r="D2" s="45"/>
      <c r="E2" s="45"/>
      <c r="F2" s="45"/>
      <c r="G2" s="45"/>
      <c r="H2" s="45"/>
      <c r="I2" s="45"/>
      <c r="J2" s="45"/>
      <c r="K2" s="45"/>
      <c r="L2" s="45"/>
      <c r="M2" s="45"/>
      <c r="N2" s="45"/>
      <c r="O2" s="45"/>
      <c r="P2" s="45"/>
      <c r="Q2" s="45"/>
      <c r="R2" s="45"/>
      <c r="S2" s="45"/>
      <c r="T2" s="45"/>
      <c r="U2" s="45"/>
      <c r="V2" s="45"/>
      <c r="W2" s="45"/>
      <c r="X2" s="45"/>
      <c r="Y2" s="45"/>
      <c r="Z2" s="45"/>
    </row>
    <row r="3">
      <c r="A3" s="45"/>
      <c r="B3" s="49" t="s">
        <v>151</v>
      </c>
      <c r="C3" s="50" t="s">
        <v>152</v>
      </c>
      <c r="D3" s="45"/>
      <c r="E3" s="45"/>
      <c r="F3" s="45"/>
      <c r="G3" s="45"/>
      <c r="H3" s="45"/>
      <c r="I3" s="45"/>
      <c r="J3" s="45"/>
      <c r="K3" s="45"/>
      <c r="L3" s="45"/>
      <c r="M3" s="45"/>
      <c r="N3" s="45"/>
      <c r="O3" s="45"/>
      <c r="P3" s="45"/>
      <c r="Q3" s="45"/>
      <c r="R3" s="45"/>
      <c r="S3" s="45"/>
      <c r="T3" s="45"/>
      <c r="U3" s="45"/>
      <c r="V3" s="45"/>
      <c r="W3" s="45"/>
      <c r="X3" s="45"/>
      <c r="Y3" s="45"/>
      <c r="Z3" s="45"/>
    </row>
    <row r="4">
      <c r="A4" s="45"/>
      <c r="B4" s="49" t="s">
        <v>153</v>
      </c>
      <c r="C4" s="50" t="s">
        <v>152</v>
      </c>
      <c r="D4" s="45"/>
      <c r="E4" s="45"/>
      <c r="F4" s="45"/>
      <c r="G4" s="45"/>
      <c r="H4" s="45"/>
      <c r="I4" s="45"/>
      <c r="J4" s="45"/>
      <c r="K4" s="45"/>
      <c r="L4" s="45"/>
      <c r="M4" s="45"/>
      <c r="N4" s="45"/>
      <c r="O4" s="45"/>
      <c r="P4" s="45"/>
      <c r="Q4" s="45"/>
      <c r="R4" s="45"/>
      <c r="S4" s="45"/>
      <c r="T4" s="45"/>
      <c r="U4" s="45"/>
      <c r="V4" s="45"/>
      <c r="W4" s="45"/>
      <c r="X4" s="45"/>
      <c r="Y4" s="45"/>
      <c r="Z4" s="45"/>
    </row>
    <row r="5">
      <c r="A5" s="45"/>
      <c r="B5" s="49" t="s">
        <v>154</v>
      </c>
      <c r="C5" s="50" t="s">
        <v>152</v>
      </c>
      <c r="D5" s="45"/>
      <c r="E5" s="45"/>
      <c r="F5" s="45"/>
      <c r="G5" s="45"/>
      <c r="H5" s="45"/>
      <c r="I5" s="45"/>
      <c r="J5" s="45"/>
      <c r="K5" s="45"/>
      <c r="L5" s="45"/>
      <c r="M5" s="45"/>
      <c r="N5" s="45"/>
      <c r="O5" s="45"/>
      <c r="P5" s="45"/>
      <c r="Q5" s="45"/>
      <c r="R5" s="45"/>
      <c r="S5" s="45"/>
      <c r="T5" s="45"/>
      <c r="U5" s="45"/>
      <c r="V5" s="45"/>
      <c r="W5" s="45"/>
      <c r="X5" s="45"/>
      <c r="Y5" s="45"/>
      <c r="Z5" s="45"/>
    </row>
    <row r="6">
      <c r="A6" s="45"/>
      <c r="B6" s="49" t="s">
        <v>155</v>
      </c>
      <c r="C6" s="50" t="s">
        <v>152</v>
      </c>
      <c r="D6" s="45"/>
      <c r="E6" s="45"/>
      <c r="F6" s="45"/>
      <c r="G6" s="45"/>
      <c r="H6" s="45"/>
      <c r="I6" s="45"/>
      <c r="J6" s="45"/>
      <c r="K6" s="45"/>
      <c r="L6" s="45"/>
      <c r="M6" s="45"/>
      <c r="N6" s="45"/>
      <c r="O6" s="45"/>
      <c r="P6" s="45"/>
      <c r="Q6" s="45"/>
      <c r="R6" s="45"/>
      <c r="S6" s="45"/>
      <c r="T6" s="45"/>
      <c r="U6" s="45"/>
      <c r="V6" s="45"/>
      <c r="W6" s="45"/>
      <c r="X6" s="45"/>
      <c r="Y6" s="45"/>
      <c r="Z6" s="45"/>
    </row>
    <row r="7">
      <c r="A7" s="45"/>
      <c r="B7" s="49" t="s">
        <v>156</v>
      </c>
      <c r="C7" s="50" t="s">
        <v>157</v>
      </c>
      <c r="D7" s="45"/>
      <c r="E7" s="45"/>
      <c r="F7" s="45"/>
      <c r="G7" s="45"/>
      <c r="H7" s="45"/>
      <c r="I7" s="45"/>
      <c r="J7" s="45"/>
      <c r="K7" s="45"/>
      <c r="L7" s="45"/>
      <c r="M7" s="45"/>
      <c r="N7" s="45"/>
      <c r="O7" s="45"/>
      <c r="P7" s="45"/>
      <c r="Q7" s="45"/>
      <c r="R7" s="45"/>
      <c r="S7" s="45"/>
      <c r="T7" s="45"/>
      <c r="U7" s="45"/>
      <c r="V7" s="45"/>
      <c r="W7" s="45"/>
      <c r="X7" s="45"/>
      <c r="Y7" s="45"/>
      <c r="Z7" s="45"/>
    </row>
    <row r="8">
      <c r="A8" s="45"/>
      <c r="B8" s="49" t="s">
        <v>158</v>
      </c>
      <c r="C8" s="33" t="s">
        <v>159</v>
      </c>
      <c r="D8" s="45"/>
      <c r="E8" s="45"/>
      <c r="F8" s="45"/>
      <c r="G8" s="45"/>
      <c r="H8" s="45"/>
      <c r="I8" s="45"/>
      <c r="J8" s="45"/>
      <c r="K8" s="45"/>
      <c r="L8" s="45"/>
      <c r="M8" s="45"/>
      <c r="N8" s="45"/>
      <c r="O8" s="45"/>
      <c r="P8" s="45"/>
      <c r="Q8" s="45"/>
      <c r="R8" s="45"/>
      <c r="S8" s="45"/>
      <c r="T8" s="45"/>
      <c r="U8" s="45"/>
      <c r="V8" s="45"/>
      <c r="W8" s="45"/>
      <c r="X8" s="45"/>
      <c r="Y8" s="45"/>
      <c r="Z8" s="45"/>
    </row>
    <row r="9">
      <c r="A9" s="45"/>
      <c r="B9" s="49" t="s">
        <v>160</v>
      </c>
      <c r="C9" s="50" t="s">
        <v>161</v>
      </c>
      <c r="D9" s="45"/>
      <c r="E9" s="45"/>
      <c r="F9" s="45"/>
      <c r="G9" s="45"/>
      <c r="H9" s="45"/>
      <c r="I9" s="45"/>
      <c r="J9" s="45"/>
      <c r="K9" s="45"/>
      <c r="L9" s="45"/>
      <c r="M9" s="45"/>
      <c r="N9" s="45"/>
      <c r="O9" s="45"/>
      <c r="P9" s="45"/>
      <c r="Q9" s="45"/>
      <c r="R9" s="45"/>
      <c r="S9" s="45"/>
      <c r="T9" s="45"/>
      <c r="U9" s="45"/>
      <c r="V9" s="45"/>
      <c r="W9" s="45"/>
      <c r="X9" s="45"/>
      <c r="Y9" s="45"/>
      <c r="Z9" s="45"/>
    </row>
    <row r="10">
      <c r="A10" s="45"/>
      <c r="B10" s="49" t="s">
        <v>162</v>
      </c>
      <c r="C10" s="33" t="s">
        <v>159</v>
      </c>
      <c r="D10" s="45"/>
      <c r="E10" s="45"/>
      <c r="F10" s="45"/>
      <c r="G10" s="45"/>
      <c r="H10" s="45"/>
      <c r="I10" s="45"/>
      <c r="J10" s="45"/>
      <c r="K10" s="45"/>
      <c r="L10" s="45"/>
      <c r="M10" s="45"/>
      <c r="N10" s="45"/>
      <c r="O10" s="45"/>
      <c r="P10" s="45"/>
      <c r="Q10" s="45"/>
      <c r="R10" s="45"/>
      <c r="S10" s="45"/>
      <c r="T10" s="45"/>
      <c r="U10" s="45"/>
      <c r="V10" s="45"/>
      <c r="W10" s="45"/>
      <c r="X10" s="45"/>
      <c r="Y10" s="45"/>
      <c r="Z10" s="45"/>
    </row>
    <row r="11">
      <c r="A11" s="45"/>
      <c r="B11" s="49" t="s">
        <v>163</v>
      </c>
      <c r="C11" s="50" t="s">
        <v>159</v>
      </c>
      <c r="D11" s="45"/>
      <c r="E11" s="45"/>
      <c r="F11" s="45"/>
      <c r="G11" s="45"/>
      <c r="H11" s="45"/>
      <c r="I11" s="45"/>
      <c r="J11" s="45"/>
      <c r="K11" s="45"/>
      <c r="L11" s="45"/>
      <c r="M11" s="45"/>
      <c r="N11" s="45"/>
      <c r="O11" s="45"/>
      <c r="P11" s="45"/>
      <c r="Q11" s="45"/>
      <c r="R11" s="45"/>
      <c r="S11" s="45"/>
      <c r="T11" s="45"/>
      <c r="U11" s="45"/>
      <c r="V11" s="45"/>
      <c r="W11" s="45"/>
      <c r="X11" s="45"/>
      <c r="Y11" s="45"/>
      <c r="Z11" s="45"/>
    </row>
    <row r="12">
      <c r="A12" s="45"/>
      <c r="B12" s="49" t="s">
        <v>164</v>
      </c>
      <c r="C12" s="50" t="s">
        <v>165</v>
      </c>
      <c r="D12" s="45"/>
      <c r="E12" s="45"/>
      <c r="F12" s="45"/>
      <c r="G12" s="45"/>
      <c r="H12" s="45"/>
      <c r="I12" s="45"/>
      <c r="J12" s="45"/>
      <c r="K12" s="45"/>
      <c r="L12" s="45"/>
      <c r="M12" s="45"/>
      <c r="N12" s="45"/>
      <c r="O12" s="45"/>
      <c r="P12" s="45"/>
      <c r="Q12" s="45"/>
      <c r="R12" s="45"/>
      <c r="S12" s="45"/>
      <c r="T12" s="45"/>
      <c r="U12" s="45"/>
      <c r="V12" s="45"/>
      <c r="W12" s="45"/>
      <c r="X12" s="45"/>
      <c r="Y12" s="45"/>
      <c r="Z12" s="45"/>
    </row>
    <row r="13">
      <c r="A13" s="45"/>
      <c r="B13" s="49" t="s">
        <v>166</v>
      </c>
      <c r="C13" s="50" t="s">
        <v>159</v>
      </c>
      <c r="D13" s="45"/>
      <c r="E13" s="45"/>
      <c r="F13" s="45"/>
      <c r="G13" s="45"/>
      <c r="H13" s="45"/>
      <c r="I13" s="45"/>
      <c r="J13" s="45"/>
      <c r="K13" s="45"/>
      <c r="L13" s="45"/>
      <c r="M13" s="45"/>
      <c r="N13" s="45"/>
      <c r="O13" s="45"/>
      <c r="P13" s="45"/>
      <c r="Q13" s="45"/>
      <c r="R13" s="45"/>
      <c r="S13" s="45"/>
      <c r="T13" s="45"/>
      <c r="U13" s="45"/>
      <c r="V13" s="45"/>
      <c r="W13" s="45"/>
      <c r="X13" s="45"/>
      <c r="Y13" s="45"/>
      <c r="Z13" s="45"/>
    </row>
    <row r="14">
      <c r="A14" s="45"/>
      <c r="B14" s="49" t="s">
        <v>167</v>
      </c>
      <c r="C14" s="50" t="s">
        <v>159</v>
      </c>
      <c r="D14" s="45"/>
      <c r="E14" s="45"/>
      <c r="F14" s="45"/>
      <c r="G14" s="45"/>
      <c r="H14" s="45"/>
      <c r="I14" s="45"/>
      <c r="J14" s="45"/>
      <c r="K14" s="45"/>
      <c r="L14" s="45"/>
      <c r="M14" s="45"/>
      <c r="N14" s="45"/>
      <c r="O14" s="45"/>
      <c r="P14" s="45"/>
      <c r="Q14" s="45"/>
      <c r="R14" s="45"/>
      <c r="S14" s="45"/>
      <c r="T14" s="45"/>
      <c r="U14" s="45"/>
      <c r="V14" s="45"/>
      <c r="W14" s="45"/>
      <c r="X14" s="45"/>
      <c r="Y14" s="45"/>
      <c r="Z14" s="45"/>
    </row>
    <row r="15">
      <c r="A15" s="45"/>
      <c r="B15" s="49" t="s">
        <v>168</v>
      </c>
      <c r="C15" s="50" t="s">
        <v>169</v>
      </c>
      <c r="D15" s="45"/>
      <c r="E15" s="45"/>
      <c r="F15" s="45"/>
      <c r="G15" s="45"/>
      <c r="H15" s="45"/>
      <c r="I15" s="45"/>
      <c r="J15" s="45"/>
      <c r="K15" s="45"/>
      <c r="L15" s="45"/>
      <c r="M15" s="45"/>
      <c r="N15" s="45"/>
      <c r="O15" s="45"/>
      <c r="P15" s="45"/>
      <c r="Q15" s="45"/>
      <c r="R15" s="45"/>
      <c r="S15" s="45"/>
      <c r="T15" s="45"/>
      <c r="U15" s="45"/>
      <c r="V15" s="45"/>
      <c r="W15" s="45"/>
      <c r="X15" s="45"/>
      <c r="Y15" s="45"/>
      <c r="Z15" s="45"/>
    </row>
    <row r="16">
      <c r="A16" s="45"/>
      <c r="B16" s="49" t="s">
        <v>170</v>
      </c>
      <c r="C16" s="50" t="s">
        <v>159</v>
      </c>
      <c r="D16" s="45"/>
      <c r="E16" s="45"/>
      <c r="F16" s="45"/>
      <c r="G16" s="45"/>
      <c r="H16" s="45"/>
      <c r="I16" s="45"/>
      <c r="J16" s="45"/>
      <c r="K16" s="45"/>
      <c r="L16" s="45"/>
      <c r="M16" s="45"/>
      <c r="N16" s="45"/>
      <c r="O16" s="45"/>
      <c r="P16" s="45"/>
      <c r="Q16" s="45"/>
      <c r="R16" s="45"/>
      <c r="S16" s="45"/>
      <c r="T16" s="45"/>
      <c r="U16" s="45"/>
      <c r="V16" s="45"/>
      <c r="W16" s="45"/>
      <c r="X16" s="45"/>
      <c r="Y16" s="45"/>
      <c r="Z16" s="45"/>
    </row>
    <row r="17">
      <c r="A17" s="45"/>
      <c r="B17" s="49" t="s">
        <v>171</v>
      </c>
      <c r="C17" s="50" t="s">
        <v>152</v>
      </c>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49" t="s">
        <v>172</v>
      </c>
      <c r="C18" s="50" t="s">
        <v>152</v>
      </c>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49" t="s">
        <v>173</v>
      </c>
      <c r="C19" s="50" t="s">
        <v>174</v>
      </c>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9" t="s">
        <v>175</v>
      </c>
      <c r="C20" s="50" t="s">
        <v>159</v>
      </c>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9" t="s">
        <v>176</v>
      </c>
      <c r="C21" s="50" t="s">
        <v>159</v>
      </c>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9" t="s">
        <v>177</v>
      </c>
      <c r="C22" s="50" t="s">
        <v>152</v>
      </c>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9" t="s">
        <v>178</v>
      </c>
      <c r="C23" s="50" t="s">
        <v>152</v>
      </c>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9" t="s">
        <v>179</v>
      </c>
      <c r="C24" s="50" t="s">
        <v>180</v>
      </c>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9" t="s">
        <v>181</v>
      </c>
      <c r="C25" s="50" t="s">
        <v>159</v>
      </c>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9" t="s">
        <v>182</v>
      </c>
      <c r="C26" s="50" t="s">
        <v>159</v>
      </c>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9" t="s">
        <v>183</v>
      </c>
      <c r="C27" s="50" t="s">
        <v>152</v>
      </c>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9" t="s">
        <v>184</v>
      </c>
      <c r="C28" s="50" t="s">
        <v>152</v>
      </c>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9" t="s">
        <v>185</v>
      </c>
      <c r="C29" s="50" t="s">
        <v>152</v>
      </c>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9" t="s">
        <v>186</v>
      </c>
      <c r="C30" s="50" t="s">
        <v>152</v>
      </c>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6"/>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7" t="s">
        <v>187</v>
      </c>
      <c r="C32" s="48" t="s">
        <v>150</v>
      </c>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9" t="s">
        <v>188</v>
      </c>
      <c r="C33" s="50" t="s">
        <v>152</v>
      </c>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9" t="s">
        <v>189</v>
      </c>
      <c r="C34" s="50" t="s">
        <v>152</v>
      </c>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9" t="s">
        <v>190</v>
      </c>
      <c r="C35" s="50" t="s">
        <v>152</v>
      </c>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9" t="s">
        <v>191</v>
      </c>
      <c r="C36" s="50" t="s">
        <v>192</v>
      </c>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9" t="s">
        <v>193</v>
      </c>
      <c r="C37" s="50" t="s">
        <v>159</v>
      </c>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9" t="s">
        <v>194</v>
      </c>
      <c r="C38" s="50" t="s">
        <v>159</v>
      </c>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9" t="s">
        <v>195</v>
      </c>
      <c r="C39" s="50" t="s">
        <v>196</v>
      </c>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9" t="s">
        <v>197</v>
      </c>
      <c r="C40" s="50" t="s">
        <v>159</v>
      </c>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9" t="s">
        <v>198</v>
      </c>
      <c r="C41" s="50" t="s">
        <v>159</v>
      </c>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9" t="s">
        <v>199</v>
      </c>
      <c r="C42" s="50" t="s">
        <v>200</v>
      </c>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9" t="s">
        <v>201</v>
      </c>
      <c r="C43" s="50" t="s">
        <v>159</v>
      </c>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9" t="s">
        <v>202</v>
      </c>
      <c r="C44" s="50" t="s">
        <v>203</v>
      </c>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9" t="s">
        <v>204</v>
      </c>
      <c r="C45" s="50" t="s">
        <v>159</v>
      </c>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9" t="s">
        <v>205</v>
      </c>
      <c r="C46" s="50" t="s">
        <v>159</v>
      </c>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9" t="s">
        <v>206</v>
      </c>
      <c r="C47" s="50" t="s">
        <v>152</v>
      </c>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9" t="s">
        <v>207</v>
      </c>
      <c r="C48" s="50" t="s">
        <v>152</v>
      </c>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9" t="s">
        <v>208</v>
      </c>
      <c r="C49" s="50" t="s">
        <v>152</v>
      </c>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9" t="s">
        <v>209</v>
      </c>
      <c r="C50" s="50" t="s">
        <v>152</v>
      </c>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9" t="s">
        <v>210</v>
      </c>
      <c r="C51" s="50" t="s">
        <v>152</v>
      </c>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9" t="s">
        <v>211</v>
      </c>
      <c r="C52" s="50" t="s">
        <v>152</v>
      </c>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6"/>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51" t="s">
        <v>212</v>
      </c>
      <c r="C54" s="48" t="s">
        <v>150</v>
      </c>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52" t="s">
        <v>213</v>
      </c>
      <c r="C55" s="53" t="s">
        <v>214</v>
      </c>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52" t="s">
        <v>215</v>
      </c>
      <c r="C56" s="53" t="s">
        <v>159</v>
      </c>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52" t="s">
        <v>216</v>
      </c>
      <c r="C57" s="53" t="s">
        <v>217</v>
      </c>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52" t="s">
        <v>218</v>
      </c>
      <c r="C58" s="53" t="s">
        <v>159</v>
      </c>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52" t="s">
        <v>219</v>
      </c>
      <c r="C59" s="53" t="s">
        <v>159</v>
      </c>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52" t="s">
        <v>220</v>
      </c>
      <c r="C60" s="53" t="s">
        <v>152</v>
      </c>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52" t="s">
        <v>221</v>
      </c>
      <c r="C61" s="53" t="s">
        <v>152</v>
      </c>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52" t="s">
        <v>222</v>
      </c>
      <c r="C62" s="53" t="s">
        <v>152</v>
      </c>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52" t="s">
        <v>223</v>
      </c>
      <c r="C63" s="53" t="s">
        <v>152</v>
      </c>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52" t="s">
        <v>224</v>
      </c>
      <c r="C64" s="53" t="s">
        <v>152</v>
      </c>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52" t="s">
        <v>225</v>
      </c>
      <c r="C65" s="53" t="s">
        <v>152</v>
      </c>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52" t="s">
        <v>226</v>
      </c>
      <c r="C66" s="53" t="s">
        <v>152</v>
      </c>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52" t="s">
        <v>227</v>
      </c>
      <c r="C67" s="53" t="s">
        <v>228</v>
      </c>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52" t="s">
        <v>229</v>
      </c>
      <c r="C68" s="53" t="s">
        <v>159</v>
      </c>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52" t="s">
        <v>230</v>
      </c>
      <c r="C69" s="53" t="s">
        <v>152</v>
      </c>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52" t="s">
        <v>231</v>
      </c>
      <c r="C70" s="53" t="s">
        <v>152</v>
      </c>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52" t="s">
        <v>232</v>
      </c>
      <c r="C71" s="53" t="s">
        <v>233</v>
      </c>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52" t="s">
        <v>234</v>
      </c>
      <c r="C72" s="53" t="s">
        <v>159</v>
      </c>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52" t="s">
        <v>235</v>
      </c>
      <c r="C73" s="53" t="s">
        <v>152</v>
      </c>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52" t="s">
        <v>236</v>
      </c>
      <c r="C74" s="53" t="s">
        <v>152</v>
      </c>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52" t="s">
        <v>237</v>
      </c>
      <c r="C75" s="53" t="s">
        <v>152</v>
      </c>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52" t="s">
        <v>238</v>
      </c>
      <c r="C76" s="53" t="s">
        <v>152</v>
      </c>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52" t="s">
        <v>239</v>
      </c>
      <c r="C77" s="53" t="s">
        <v>240</v>
      </c>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52" t="s">
        <v>241</v>
      </c>
      <c r="C78" s="53" t="s">
        <v>159</v>
      </c>
      <c r="D78" s="45"/>
      <c r="E78" s="45"/>
      <c r="F78" s="45"/>
      <c r="G78" s="45"/>
      <c r="H78" s="45"/>
      <c r="I78" s="45"/>
      <c r="J78" s="45"/>
      <c r="K78" s="45"/>
      <c r="L78" s="45"/>
      <c r="M78" s="45"/>
      <c r="N78" s="45"/>
      <c r="O78" s="45"/>
      <c r="P78" s="45"/>
      <c r="Q78" s="45"/>
      <c r="R78" s="45"/>
      <c r="S78" s="45"/>
      <c r="T78" s="45"/>
      <c r="U78" s="45"/>
      <c r="V78" s="45"/>
      <c r="W78" s="45"/>
      <c r="X78" s="45"/>
      <c r="Y78" s="45"/>
      <c r="Z78" s="45"/>
    </row>
    <row r="79">
      <c r="C79" s="46"/>
    </row>
    <row r="80">
      <c r="B80" s="51" t="s">
        <v>242</v>
      </c>
      <c r="C80" s="48" t="s">
        <v>150</v>
      </c>
    </row>
    <row r="81">
      <c r="A81" s="45"/>
      <c r="B81" s="52" t="s">
        <v>243</v>
      </c>
      <c r="C81" s="53" t="s">
        <v>244</v>
      </c>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52" t="s">
        <v>245</v>
      </c>
      <c r="C82" s="53" t="s">
        <v>159</v>
      </c>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52" t="s">
        <v>246</v>
      </c>
      <c r="C83" s="53" t="s">
        <v>159</v>
      </c>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52" t="s">
        <v>247</v>
      </c>
      <c r="C84" s="53" t="s">
        <v>159</v>
      </c>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52" t="s">
        <v>248</v>
      </c>
      <c r="C85" s="53" t="s">
        <v>249</v>
      </c>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52" t="s">
        <v>250</v>
      </c>
      <c r="C86" s="53" t="s">
        <v>159</v>
      </c>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52" t="s">
        <v>251</v>
      </c>
      <c r="C87" s="53" t="s">
        <v>159</v>
      </c>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52" t="s">
        <v>252</v>
      </c>
      <c r="C88" s="53" t="s">
        <v>152</v>
      </c>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52" t="s">
        <v>253</v>
      </c>
      <c r="C89" s="53" t="s">
        <v>152</v>
      </c>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52" t="s">
        <v>254</v>
      </c>
      <c r="C90" s="53" t="s">
        <v>152</v>
      </c>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52" t="s">
        <v>255</v>
      </c>
      <c r="C91" s="53" t="s">
        <v>152</v>
      </c>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52" t="s">
        <v>256</v>
      </c>
      <c r="C92" s="53" t="s">
        <v>152</v>
      </c>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52" t="s">
        <v>257</v>
      </c>
      <c r="C93" s="53" t="s">
        <v>152</v>
      </c>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6"/>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6"/>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6"/>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6"/>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6"/>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6"/>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6"/>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6"/>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6"/>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6"/>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6"/>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6"/>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6"/>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6"/>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6"/>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6"/>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6"/>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6"/>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6"/>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6"/>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6"/>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6"/>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6"/>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6"/>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6"/>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6"/>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6"/>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6"/>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6"/>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6"/>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6"/>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6"/>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6"/>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6"/>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6"/>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6"/>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6"/>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6"/>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6"/>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6"/>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6"/>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6"/>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6"/>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6"/>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6"/>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6"/>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6"/>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6"/>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6"/>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6"/>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6"/>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6"/>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6"/>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6"/>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6"/>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6"/>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6"/>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6"/>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6"/>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6"/>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6"/>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6"/>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6"/>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6"/>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6"/>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6"/>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6"/>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6"/>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6"/>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6"/>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6"/>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6"/>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6"/>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6"/>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6"/>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6"/>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6"/>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6"/>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6"/>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6"/>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6"/>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6"/>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6"/>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6"/>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6"/>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6"/>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6"/>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6"/>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6"/>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6"/>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6"/>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6"/>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6"/>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6"/>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6"/>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6"/>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6"/>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6"/>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6"/>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6"/>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6"/>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6"/>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6"/>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6"/>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6"/>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6"/>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6"/>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6"/>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6"/>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6"/>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6"/>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6"/>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6"/>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6"/>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6"/>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6"/>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6"/>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6"/>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6"/>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6"/>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6"/>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6"/>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6"/>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6"/>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6"/>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6"/>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6"/>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6"/>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6"/>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6"/>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6"/>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6"/>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6"/>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6"/>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6"/>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6"/>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6"/>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6"/>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6"/>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6"/>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6"/>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6"/>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6"/>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6"/>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6"/>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6"/>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6"/>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6"/>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6"/>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6"/>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6"/>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6"/>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6"/>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6"/>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6"/>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6"/>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6"/>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6"/>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6"/>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6"/>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6"/>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6"/>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6"/>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6"/>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6"/>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6"/>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6"/>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6"/>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6"/>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6"/>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6"/>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6"/>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6"/>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6"/>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6"/>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6"/>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6"/>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6"/>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6"/>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6"/>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6"/>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6"/>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6"/>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6"/>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6"/>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6"/>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6"/>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6"/>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6"/>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6"/>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6"/>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6"/>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6"/>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6"/>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6"/>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6"/>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6"/>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6"/>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6"/>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6"/>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6"/>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6"/>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6"/>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6"/>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6"/>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6"/>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6"/>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6"/>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6"/>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6"/>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6"/>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6"/>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6"/>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6"/>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6"/>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6"/>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6"/>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6"/>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6"/>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6"/>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6"/>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6"/>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6"/>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6"/>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6"/>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6"/>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6"/>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6"/>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6"/>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6"/>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6"/>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6"/>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6"/>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6"/>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6"/>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6"/>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6"/>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6"/>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6"/>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6"/>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6"/>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6"/>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6"/>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6"/>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6"/>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6"/>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6"/>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6"/>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6"/>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6"/>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6"/>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6"/>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6"/>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6"/>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6"/>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6"/>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6"/>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6"/>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6"/>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6"/>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6"/>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6"/>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6"/>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6"/>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6"/>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6"/>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6"/>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6"/>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6"/>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6"/>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6"/>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6"/>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6"/>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6"/>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6"/>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6"/>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6"/>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6"/>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6"/>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6"/>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6"/>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6"/>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6"/>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6"/>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6"/>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6"/>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6"/>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6"/>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6"/>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6"/>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6"/>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6"/>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6"/>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6"/>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6"/>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6"/>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6"/>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6"/>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6"/>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6"/>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6"/>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6"/>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6"/>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6"/>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6"/>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6"/>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6"/>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6"/>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6"/>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6"/>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6"/>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6"/>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6"/>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6"/>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6"/>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6"/>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6"/>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6"/>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6"/>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6"/>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6"/>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6"/>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6"/>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6"/>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6"/>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6"/>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6"/>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6"/>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6"/>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6"/>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6"/>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6"/>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6"/>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6"/>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6"/>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6"/>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6"/>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6"/>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6"/>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6"/>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6"/>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6"/>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6"/>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6"/>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6"/>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6"/>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6"/>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6"/>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6"/>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6"/>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6"/>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6"/>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6"/>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6"/>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6"/>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6"/>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6"/>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6"/>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6"/>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6"/>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6"/>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6"/>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6"/>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6"/>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6"/>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6"/>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6"/>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6"/>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6"/>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6"/>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6"/>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6"/>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6"/>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6"/>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6"/>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6"/>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6"/>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6"/>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6"/>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6"/>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6"/>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6"/>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6"/>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6"/>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6"/>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6"/>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6"/>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6"/>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6"/>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6"/>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6"/>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6"/>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6"/>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6"/>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6"/>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6"/>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6"/>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6"/>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6"/>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6"/>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6"/>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6"/>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6"/>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6"/>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6"/>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6"/>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6"/>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6"/>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6"/>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6"/>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6"/>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6"/>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6"/>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6"/>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6"/>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6"/>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6"/>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6"/>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6"/>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6"/>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6"/>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6"/>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6"/>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6"/>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6"/>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6"/>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6"/>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6"/>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6"/>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6"/>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6"/>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6"/>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6"/>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6"/>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6"/>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6"/>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6"/>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6"/>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6"/>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6"/>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6"/>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6"/>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6"/>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6"/>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6"/>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6"/>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6"/>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6"/>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6"/>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6"/>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6"/>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6"/>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6"/>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6"/>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6"/>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6"/>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6"/>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6"/>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6"/>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6"/>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6"/>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6"/>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6"/>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6"/>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6"/>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6"/>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6"/>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6"/>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6"/>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6"/>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6"/>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6"/>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6"/>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6"/>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6"/>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6"/>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6"/>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6"/>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6"/>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6"/>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6"/>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6"/>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6"/>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6"/>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6"/>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6"/>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6"/>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6"/>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6"/>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6"/>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6"/>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6"/>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6"/>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6"/>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6"/>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6"/>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6"/>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6"/>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6"/>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6"/>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6"/>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6"/>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6"/>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6"/>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6"/>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6"/>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6"/>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6"/>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6"/>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6"/>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6"/>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6"/>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6"/>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6"/>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6"/>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6"/>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6"/>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6"/>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6"/>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6"/>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6"/>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6"/>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6"/>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6"/>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6"/>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6"/>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6"/>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6"/>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6"/>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6"/>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6"/>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6"/>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6"/>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6"/>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6"/>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6"/>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6"/>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6"/>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6"/>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6"/>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6"/>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6"/>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6"/>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6"/>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6"/>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6"/>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6"/>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6"/>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6"/>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6"/>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6"/>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6"/>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6"/>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6"/>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6"/>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6"/>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6"/>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6"/>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6"/>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6"/>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6"/>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6"/>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6"/>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6"/>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6"/>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6"/>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6"/>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6"/>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6"/>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6"/>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6"/>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6"/>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6"/>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6"/>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6"/>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6"/>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6"/>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6"/>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6"/>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6"/>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6"/>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6"/>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6"/>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6"/>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6"/>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6"/>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6"/>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6"/>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6"/>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6"/>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6"/>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6"/>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6"/>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6"/>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6"/>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6"/>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6"/>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6"/>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6"/>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6"/>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6"/>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6"/>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6"/>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6"/>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6"/>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6"/>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6"/>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6"/>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6"/>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6"/>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6"/>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6"/>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6"/>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6"/>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6"/>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6"/>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6"/>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6"/>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6"/>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6"/>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6"/>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6"/>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6"/>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6"/>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6"/>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6"/>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6"/>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6"/>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6"/>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6"/>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6"/>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6"/>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6"/>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6"/>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6"/>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6"/>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6"/>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6"/>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6"/>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6"/>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6"/>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6"/>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6"/>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6"/>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6"/>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6"/>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6"/>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6"/>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6"/>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6"/>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6"/>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6"/>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6"/>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6"/>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6"/>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6"/>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6"/>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6"/>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6"/>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6"/>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6"/>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6"/>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6"/>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6"/>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6"/>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6"/>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6"/>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6"/>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6"/>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6"/>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6"/>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6"/>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6"/>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6"/>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6"/>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6"/>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6"/>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6"/>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6"/>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6"/>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6"/>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6"/>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6"/>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6"/>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6"/>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6"/>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6"/>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6"/>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6"/>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6"/>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6"/>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6"/>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6"/>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6"/>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6"/>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6"/>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6"/>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6"/>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6"/>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6"/>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6"/>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6"/>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6"/>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6"/>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6"/>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6"/>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6"/>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6"/>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6"/>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6"/>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6"/>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6"/>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6"/>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6"/>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6"/>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6"/>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6"/>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6"/>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6"/>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6"/>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6"/>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6"/>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6"/>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6"/>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6"/>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6"/>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6"/>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6"/>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6"/>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6"/>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6"/>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6"/>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6"/>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6"/>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6"/>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6"/>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6"/>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6"/>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6"/>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6"/>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6"/>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6"/>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6"/>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6"/>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6"/>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6"/>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6"/>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6"/>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6"/>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6"/>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6"/>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6"/>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6"/>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6"/>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6"/>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6"/>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6"/>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6"/>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6"/>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6"/>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6"/>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6"/>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6"/>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6"/>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6"/>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6"/>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6"/>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6"/>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6"/>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6"/>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6"/>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6"/>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6"/>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6"/>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6"/>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6"/>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6"/>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6"/>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6"/>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6"/>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6"/>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6"/>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6"/>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6"/>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6"/>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6"/>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6"/>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6"/>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6"/>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6"/>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6"/>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6"/>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6"/>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6"/>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6"/>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6"/>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6"/>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6"/>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6"/>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6"/>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6"/>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6"/>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6"/>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6"/>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6"/>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6"/>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6"/>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6"/>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6"/>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6"/>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6"/>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6"/>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6"/>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6"/>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6"/>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6"/>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6"/>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6"/>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6"/>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6"/>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6"/>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6"/>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6"/>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6"/>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6"/>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6"/>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6"/>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6"/>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6"/>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6"/>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6"/>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6"/>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6"/>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6"/>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6"/>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6"/>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6"/>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6"/>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6"/>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6"/>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6"/>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6"/>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6"/>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6"/>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6"/>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6"/>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6"/>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6"/>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6"/>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6"/>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6"/>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6"/>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6"/>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6"/>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6"/>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6"/>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6"/>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6"/>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6"/>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6"/>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6"/>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6"/>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6"/>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6"/>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6"/>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6"/>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6"/>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6"/>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6"/>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6"/>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6"/>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6"/>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6"/>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6"/>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6"/>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6"/>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6"/>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6"/>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6"/>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6"/>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6"/>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6"/>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6"/>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6"/>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6"/>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6"/>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6"/>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6"/>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6"/>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6"/>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6"/>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9.88"/>
    <col customWidth="1" min="3" max="3" width="14.75"/>
  </cols>
  <sheetData>
    <row r="2">
      <c r="B2" s="33" t="s">
        <v>258</v>
      </c>
    </row>
    <row r="3">
      <c r="C3" s="33" t="s">
        <v>259</v>
      </c>
    </row>
    <row r="4">
      <c r="A4" s="33" t="s">
        <v>260</v>
      </c>
      <c r="D4" s="33"/>
    </row>
    <row r="5">
      <c r="B5" s="33" t="s">
        <v>261</v>
      </c>
      <c r="C5" s="33" t="s">
        <v>262</v>
      </c>
    </row>
    <row r="6">
      <c r="B6" s="33" t="s">
        <v>263</v>
      </c>
      <c r="C6" s="33" t="s">
        <v>262</v>
      </c>
    </row>
    <row r="7">
      <c r="A7" s="33" t="s">
        <v>264</v>
      </c>
    </row>
    <row r="8">
      <c r="B8" s="33" t="s">
        <v>42</v>
      </c>
      <c r="C8" s="33" t="s">
        <v>262</v>
      </c>
    </row>
    <row r="9">
      <c r="B9" s="33" t="s">
        <v>265</v>
      </c>
      <c r="C9" s="33" t="s">
        <v>262</v>
      </c>
    </row>
    <row r="10">
      <c r="B10" s="33" t="s">
        <v>266</v>
      </c>
      <c r="C10" s="33" t="s">
        <v>262</v>
      </c>
    </row>
    <row r="11">
      <c r="B11" s="33" t="s">
        <v>267</v>
      </c>
      <c r="C11" s="33" t="s">
        <v>262</v>
      </c>
    </row>
    <row r="12">
      <c r="B12" s="33" t="s">
        <v>268</v>
      </c>
      <c r="C12" s="33" t="s">
        <v>262</v>
      </c>
    </row>
    <row r="13">
      <c r="B13" s="33" t="s">
        <v>269</v>
      </c>
      <c r="C13" s="33" t="s">
        <v>262</v>
      </c>
    </row>
    <row r="14">
      <c r="B14" s="33" t="s">
        <v>270</v>
      </c>
      <c r="C14" s="33" t="s">
        <v>262</v>
      </c>
    </row>
    <row r="15">
      <c r="B15" s="33" t="s">
        <v>271</v>
      </c>
      <c r="C15" s="33" t="s">
        <v>262</v>
      </c>
    </row>
    <row r="16">
      <c r="B16" s="33" t="s">
        <v>272</v>
      </c>
      <c r="C16" s="33" t="s">
        <v>262</v>
      </c>
    </row>
    <row r="17">
      <c r="A17" s="33" t="s">
        <v>273</v>
      </c>
    </row>
    <row r="18">
      <c r="B18" s="33" t="s">
        <v>274</v>
      </c>
      <c r="C18" s="33" t="s">
        <v>262</v>
      </c>
    </row>
    <row r="19">
      <c r="B19" s="33" t="s">
        <v>275</v>
      </c>
      <c r="C19" s="33" t="s">
        <v>262</v>
      </c>
    </row>
    <row r="20">
      <c r="B20" s="33" t="s">
        <v>276</v>
      </c>
      <c r="C20" s="33" t="s">
        <v>262</v>
      </c>
    </row>
  </sheetData>
  <drawing r:id="rId1"/>
</worksheet>
</file>