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Volumes/GoogleDrive/My Drive/Ambient - Ivan/02 Fundraising/Fundraising Models/"/>
    </mc:Choice>
  </mc:AlternateContent>
  <xr:revisionPtr revIDLastSave="0" documentId="13_ncr:1_{D9DB1B4A-829B-984E-A00D-6AAE4424F199}" xr6:coauthVersionLast="47" xr6:coauthVersionMax="47" xr10:uidLastSave="{00000000-0000-0000-0000-000000000000}"/>
  <bookViews>
    <workbookView xWindow="0" yWindow="500" windowWidth="28800" windowHeight="15960" xr2:uid="{00000000-000D-0000-FFFF-FFFF00000000}"/>
  </bookViews>
  <sheets>
    <sheet name="Dashboards" sheetId="16" r:id="rId1"/>
    <sheet name="Cash Flow Summary (Bottom-Up)" sheetId="13" r:id="rId2"/>
    <sheet name="Market Sizing (Top Down)" sheetId="15" r:id="rId3"/>
    <sheet name="Product Costing" sheetId="19" r:id="rId4"/>
    <sheet name="Project Schedule" sheetId="18" r:id="rId5"/>
  </sheets>
  <definedNames>
    <definedName name="Display_Week">'Project Schedule'!$E$4</definedName>
    <definedName name="_xlnm.Print_Titles" localSheetId="4">'Project Schedule'!$4:$6</definedName>
    <definedName name="Project_Start">'Project Schedule'!$E$3</definedName>
    <definedName name="task_end" localSheetId="4">'Project Schedule'!$F1</definedName>
    <definedName name="task_progress" localSheetId="4">'Project Schedule'!$D1</definedName>
    <definedName name="task_start" localSheetId="4">'Project Schedule'!$E1</definedName>
    <definedName name="today" localSheetId="4">TODAY()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hRT9y2xAioijFkcfLnhlCrAECcjg=="/>
    </ext>
  </extLst>
</workbook>
</file>

<file path=xl/calcChain.xml><?xml version="1.0" encoding="utf-8"?>
<calcChain xmlns="http://schemas.openxmlformats.org/spreadsheetml/2006/main">
  <c r="I5" i="18" l="1"/>
  <c r="H33" i="18"/>
  <c r="H32" i="18"/>
  <c r="H31" i="18"/>
  <c r="H30" i="18"/>
  <c r="H29" i="18"/>
  <c r="H28" i="18"/>
  <c r="H27" i="18"/>
  <c r="H26" i="18"/>
  <c r="H20" i="18"/>
  <c r="H14" i="18"/>
  <c r="H8" i="18"/>
  <c r="H7" i="18"/>
  <c r="I6" i="18" l="1"/>
  <c r="I4" i="18"/>
  <c r="J5" i="18"/>
  <c r="E9" i="18"/>
  <c r="F9" i="18" l="1"/>
  <c r="E10" i="18" s="1"/>
  <c r="E21" i="18"/>
  <c r="K5" i="18"/>
  <c r="J6" i="18"/>
  <c r="F10" i="18" l="1"/>
  <c r="E11" i="18" s="1"/>
  <c r="E13" i="18"/>
  <c r="K6" i="18"/>
  <c r="L5" i="18"/>
  <c r="F21" i="18"/>
  <c r="E22" i="18" s="1"/>
  <c r="H9" i="18"/>
  <c r="H10" i="18" l="1"/>
  <c r="E23" i="18"/>
  <c r="F22" i="18"/>
  <c r="H22" i="18" s="1"/>
  <c r="H21" i="18"/>
  <c r="M5" i="18"/>
  <c r="L6" i="18"/>
  <c r="F13" i="18"/>
  <c r="H13" i="18" s="1"/>
  <c r="E15" i="18"/>
  <c r="F11" i="18"/>
  <c r="E12" i="18" s="1"/>
  <c r="M6" i="18" l="1"/>
  <c r="N5" i="18"/>
  <c r="F12" i="18"/>
  <c r="H12" i="18" s="1"/>
  <c r="H11" i="18"/>
  <c r="F15" i="18"/>
  <c r="H15" i="18" s="1"/>
  <c r="E16" i="18"/>
  <c r="E25" i="18"/>
  <c r="F23" i="18"/>
  <c r="E24" i="18" s="1"/>
  <c r="F16" i="18" l="1"/>
  <c r="E17" i="18" s="1"/>
  <c r="O5" i="18"/>
  <c r="N6" i="18"/>
  <c r="F24" i="18"/>
  <c r="H24" i="18" s="1"/>
  <c r="H23" i="18"/>
  <c r="F25" i="18"/>
  <c r="H25" i="18" s="1"/>
  <c r="O6" i="18" l="1"/>
  <c r="P5" i="18"/>
  <c r="E18" i="18"/>
  <c r="F17" i="18"/>
  <c r="H17" i="18" s="1"/>
  <c r="H16" i="18"/>
  <c r="E19" i="18" l="1"/>
  <c r="F18" i="18"/>
  <c r="H18" i="18" s="1"/>
  <c r="Q5" i="18"/>
  <c r="P6" i="18"/>
  <c r="P4" i="18"/>
  <c r="Q6" i="18" l="1"/>
  <c r="R5" i="18"/>
  <c r="F19" i="18"/>
  <c r="H19" i="18" s="1"/>
  <c r="S5" i="18" l="1"/>
  <c r="R6" i="18"/>
  <c r="T5" i="18" l="1"/>
  <c r="S6" i="18"/>
  <c r="U5" i="18" l="1"/>
  <c r="T6" i="18"/>
  <c r="V5" i="18" l="1"/>
  <c r="U6" i="18"/>
  <c r="W5" i="18" l="1"/>
  <c r="V6" i="18"/>
  <c r="W4" i="18" l="1"/>
  <c r="X5" i="18"/>
  <c r="W6" i="18"/>
  <c r="Y5" i="18" l="1"/>
  <c r="X6" i="18"/>
  <c r="Y6" i="18" l="1"/>
  <c r="Z5" i="18"/>
  <c r="AA5" i="18" l="1"/>
  <c r="Z6" i="18"/>
  <c r="AB5" i="18" l="1"/>
  <c r="AA6" i="18"/>
  <c r="AC5" i="18" l="1"/>
  <c r="AB6" i="18"/>
  <c r="AC6" i="18" l="1"/>
  <c r="AD5" i="18"/>
  <c r="AE5" i="18" l="1"/>
  <c r="AD4" i="18"/>
  <c r="AD6" i="18"/>
  <c r="AE6" i="18" l="1"/>
  <c r="AF5" i="18"/>
  <c r="AG5" i="18" l="1"/>
  <c r="AF6" i="18"/>
  <c r="AG6" i="18" l="1"/>
  <c r="AH5" i="18"/>
  <c r="AI5" i="18" l="1"/>
  <c r="AH6" i="18"/>
  <c r="AJ5" i="18" l="1"/>
  <c r="AI6" i="18"/>
  <c r="AJ6" i="18" l="1"/>
  <c r="AK5" i="18"/>
  <c r="AK4" i="18" l="1"/>
  <c r="AL5" i="18"/>
  <c r="AK6" i="18"/>
  <c r="AM5" i="18" l="1"/>
  <c r="AL6" i="18"/>
  <c r="AN5" i="18" l="1"/>
  <c r="AM6" i="18"/>
  <c r="AO5" i="18" l="1"/>
  <c r="AN6" i="18"/>
  <c r="AO6" i="18" l="1"/>
  <c r="AP5" i="18"/>
  <c r="AQ5" i="18" l="1"/>
  <c r="AP6" i="18"/>
  <c r="AR5" i="18" l="1"/>
  <c r="AQ6" i="18"/>
  <c r="AR4" i="18" l="1"/>
  <c r="AS5" i="18"/>
  <c r="AR6" i="18"/>
  <c r="AS6" i="18" l="1"/>
  <c r="AT5" i="18"/>
  <c r="AU5" i="18" l="1"/>
  <c r="AT6" i="18"/>
  <c r="AU6" i="18" l="1"/>
  <c r="AV5" i="18"/>
  <c r="AW5" i="18" l="1"/>
  <c r="AV6" i="18"/>
  <c r="D8" i="15"/>
  <c r="D9" i="15" s="1"/>
  <c r="F8" i="15"/>
  <c r="F9" i="15" s="1"/>
  <c r="G8" i="15"/>
  <c r="G9" i="15" s="1"/>
  <c r="C39" i="16"/>
  <c r="C38" i="16"/>
  <c r="C37" i="16"/>
  <c r="C36" i="16"/>
  <c r="C35" i="16"/>
  <c r="C33" i="16"/>
  <c r="C34" i="16"/>
  <c r="E34" i="16"/>
  <c r="E35" i="16" s="1"/>
  <c r="E36" i="16" s="1"/>
  <c r="E37" i="16" s="1"/>
  <c r="E38" i="16" s="1"/>
  <c r="E39" i="16" s="1"/>
  <c r="B34" i="16"/>
  <c r="B35" i="16" s="1"/>
  <c r="B36" i="16" s="1"/>
  <c r="B37" i="16" s="1"/>
  <c r="B38" i="16" s="1"/>
  <c r="B39" i="16" s="1"/>
  <c r="D6" i="15"/>
  <c r="E6" i="15"/>
  <c r="F6" i="15"/>
  <c r="G6" i="15"/>
  <c r="AW6" i="18" l="1"/>
  <c r="AX5" i="18"/>
  <c r="F11" i="15"/>
  <c r="F14" i="15" s="1"/>
  <c r="G11" i="15"/>
  <c r="D11" i="15"/>
  <c r="F12" i="15"/>
  <c r="G12" i="15"/>
  <c r="F13" i="15"/>
  <c r="B5" i="13"/>
  <c r="B6" i="13" s="1"/>
  <c r="B7" i="13" s="1"/>
  <c r="B8" i="13" s="1"/>
  <c r="B9" i="13" s="1"/>
  <c r="B10" i="13" s="1"/>
  <c r="AY5" i="18" l="1"/>
  <c r="AX6" i="18"/>
  <c r="G13" i="15"/>
  <c r="G14" i="15"/>
  <c r="D12" i="15"/>
  <c r="H12" i="15" s="1"/>
  <c r="H11" i="15"/>
  <c r="D14" i="15"/>
  <c r="D13" i="15"/>
  <c r="H13" i="15" s="1"/>
  <c r="N5" i="13"/>
  <c r="N6" i="13"/>
  <c r="N7" i="13"/>
  <c r="N8" i="13"/>
  <c r="N9" i="13"/>
  <c r="N10" i="13"/>
  <c r="N4" i="13"/>
  <c r="L5" i="13"/>
  <c r="L6" i="13"/>
  <c r="L7" i="13"/>
  <c r="L8" i="13"/>
  <c r="L9" i="13"/>
  <c r="L10" i="13"/>
  <c r="L4" i="13"/>
  <c r="J5" i="13"/>
  <c r="J6" i="13"/>
  <c r="J7" i="13"/>
  <c r="J8" i="13"/>
  <c r="J9" i="13"/>
  <c r="J10" i="13"/>
  <c r="J4" i="13"/>
  <c r="G5" i="13"/>
  <c r="G6" i="13" s="1"/>
  <c r="G7" i="13" s="1"/>
  <c r="G8" i="13" s="1"/>
  <c r="G9" i="13" s="1"/>
  <c r="G10" i="13" s="1"/>
  <c r="AY4" i="18" l="1"/>
  <c r="AZ5" i="18"/>
  <c r="AY6" i="18"/>
  <c r="H14" i="15"/>
  <c r="H37" i="16" s="1"/>
  <c r="G39" i="16"/>
  <c r="G34" i="16"/>
  <c r="G35" i="16"/>
  <c r="G36" i="16"/>
  <c r="G37" i="16"/>
  <c r="G38" i="16"/>
  <c r="F39" i="16"/>
  <c r="F35" i="16"/>
  <c r="F36" i="16"/>
  <c r="F37" i="16"/>
  <c r="F38" i="16"/>
  <c r="F34" i="16"/>
  <c r="H10" i="13"/>
  <c r="C10" i="13" s="1"/>
  <c r="H4" i="13"/>
  <c r="C4" i="13" s="1"/>
  <c r="H6" i="13"/>
  <c r="C6" i="13" s="1"/>
  <c r="H7" i="13"/>
  <c r="C7" i="13" s="1"/>
  <c r="H9" i="13"/>
  <c r="C9" i="13" s="1"/>
  <c r="H8" i="13"/>
  <c r="C8" i="13" s="1"/>
  <c r="H5" i="13"/>
  <c r="C5" i="13" s="1"/>
  <c r="E5" i="13" s="1"/>
  <c r="E6" i="13" s="1"/>
  <c r="E7" i="13" s="1"/>
  <c r="E8" i="13" s="1"/>
  <c r="BA5" i="18" l="1"/>
  <c r="AZ6" i="18"/>
  <c r="H35" i="16"/>
  <c r="H39" i="16"/>
  <c r="H34" i="16"/>
  <c r="H36" i="16"/>
  <c r="H38" i="16"/>
  <c r="E9" i="13"/>
  <c r="E10" i="13" s="1"/>
  <c r="BA6" i="18" l="1"/>
  <c r="BB5" i="18"/>
  <c r="BC5" i="18" l="1"/>
  <c r="BB6" i="18"/>
  <c r="BD5" i="18" l="1"/>
  <c r="BC6" i="18"/>
  <c r="BE5" i="18" l="1"/>
  <c r="BD6" i="18"/>
  <c r="BE6" i="18" l="1"/>
  <c r="BF5" i="18"/>
  <c r="BF4" i="18" l="1"/>
  <c r="BG5" i="18"/>
  <c r="BF6" i="18"/>
  <c r="BH5" i="18" l="1"/>
  <c r="BG6" i="18"/>
  <c r="BH6" i="18" l="1"/>
  <c r="BI5" i="18"/>
  <c r="BJ5" i="18" l="1"/>
  <c r="BI6" i="18"/>
  <c r="BK5" i="18" l="1"/>
  <c r="BJ6" i="18"/>
  <c r="BL5" i="18" l="1"/>
  <c r="BL6" i="18" s="1"/>
  <c r="BK6" i="18"/>
</calcChain>
</file>

<file path=xl/sharedStrings.xml><?xml version="1.0" encoding="utf-8"?>
<sst xmlns="http://schemas.openxmlformats.org/spreadsheetml/2006/main" count="159" uniqueCount="110">
  <si>
    <t>Description</t>
  </si>
  <si>
    <t>Revenue</t>
  </si>
  <si>
    <t>Revenues</t>
  </si>
  <si>
    <t>Year</t>
  </si>
  <si>
    <t>Cost</t>
  </si>
  <si>
    <t>[Team member]</t>
  </si>
  <si>
    <t>Users</t>
  </si>
  <si>
    <t>Product 1</t>
  </si>
  <si>
    <t>Product 2</t>
  </si>
  <si>
    <t>Product 3</t>
  </si>
  <si>
    <t>$1M ARR</t>
  </si>
  <si>
    <t>$3M ARR</t>
  </si>
  <si>
    <t>$9M ARR</t>
  </si>
  <si>
    <t>$20M ARR</t>
  </si>
  <si>
    <t>$50M ARR</t>
  </si>
  <si>
    <t>$100M ARR</t>
  </si>
  <si>
    <t>Enterprise</t>
  </si>
  <si>
    <t>SME</t>
  </si>
  <si>
    <t>Open Source (Free)</t>
  </si>
  <si>
    <t>ARR Target</t>
  </si>
  <si>
    <t>Offering</t>
  </si>
  <si>
    <t>Estimated Pricing (Annual)</t>
  </si>
  <si>
    <t>Vertical Farming</t>
  </si>
  <si>
    <t>Singapore</t>
  </si>
  <si>
    <t>Developers</t>
  </si>
  <si>
    <t>REITs</t>
  </si>
  <si>
    <t>Annual Revenues (Average)</t>
  </si>
  <si>
    <t>??</t>
  </si>
  <si>
    <t>??
Maybe a Hospital or a Retail Store</t>
  </si>
  <si>
    <t>Estimated Income (Revenues - Expenses)</t>
  </si>
  <si>
    <t>Estimated Expense % (Operating)</t>
  </si>
  <si>
    <t>A</t>
  </si>
  <si>
    <t>B</t>
  </si>
  <si>
    <t>C</t>
  </si>
  <si>
    <t>D</t>
  </si>
  <si>
    <t>E</t>
  </si>
  <si>
    <t>Servicable Available Market (SAM) (A * E)</t>
  </si>
  <si>
    <t>F</t>
  </si>
  <si>
    <t>Serviceable Obtainable Market (SOM) - Base Case (F * 10%)</t>
  </si>
  <si>
    <t>Serviceable Obtainable Market (SOM) - Best Case (F * 20%)</t>
  </si>
  <si>
    <t>Serviceable Obtainable Market (SOM) - Worst Case (F * 5%)</t>
  </si>
  <si>
    <t>G</t>
  </si>
  <si>
    <t>H</t>
  </si>
  <si>
    <t>I</t>
  </si>
  <si>
    <t>SAM</t>
  </si>
  <si>
    <t>Base Case</t>
  </si>
  <si>
    <t>Worst Case</t>
  </si>
  <si>
    <t>Best Case</t>
  </si>
  <si>
    <t>-</t>
  </si>
  <si>
    <t>Top Down</t>
  </si>
  <si>
    <t>Bottom Up</t>
  </si>
  <si>
    <t xml:space="preserve">Baseline Case </t>
  </si>
  <si>
    <t>Year 1</t>
  </si>
  <si>
    <t>Year 2</t>
  </si>
  <si>
    <t>Year 3</t>
  </si>
  <si>
    <t>Year 4</t>
  </si>
  <si>
    <t>Year 5</t>
  </si>
  <si>
    <t>Year 6</t>
  </si>
  <si>
    <t>Number of Businesses</t>
  </si>
  <si>
    <t>Estimated Budget for Tech (1 % of Income)</t>
  </si>
  <si>
    <t>Based on how much we think we can charge for our product (i.e., premium subscription at $300k per year for enterprise and $150k per year for SME)</t>
  </si>
  <si>
    <t>Number of singapore-sized markets needed to reach revenue goals based on different market penetration rates of SAM (i.e., baseline case = market penetration rate of 10%)</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</si>
  <si>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</si>
  <si>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</si>
  <si>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Project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</si>
  <si>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</si>
  <si>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</si>
  <si>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</si>
  <si>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</si>
  <si>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</si>
  <si>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</si>
  <si>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</si>
  <si>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</si>
  <si>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</si>
  <si>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</si>
  <si>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</si>
  <si>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current day within the project schedule. </t>
  </si>
  <si>
    <t>Cell B8 contains the Phase 1 sample title. 
Enter a new Title in cell B8.
Enter a name to assign the phase to, if it applies for your project, in cell C8.
[Team member]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</si>
  <si>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</si>
  <si>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Task 1</t>
  </si>
  <si>
    <t>Name</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</si>
  <si>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</si>
  <si>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Task 2</t>
  </si>
  <si>
    <t>Task 3</t>
  </si>
  <si>
    <t>Task 4</t>
  </si>
  <si>
    <t>Task 5</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</si>
  <si>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</si>
  <si>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Phase 2 Title</t>
  </si>
  <si>
    <t>Sample phase title block</t>
  </si>
  <si>
    <t>Phase 3 Title</t>
  </si>
  <si>
    <t>Phase 4 Title</t>
  </si>
  <si>
    <t>date</t>
  </si>
  <si>
    <t>This is an empty row</t>
  </si>
  <si>
    <t>This row marks the end of the Project Schedule. DO NOT enter anything in this row. 
Insert new rows ABOVE this one to continue building out your Project Schedule.</t>
  </si>
  <si>
    <t>Insert new rows ABOVE this one</t>
  </si>
  <si>
    <t>Ambient Systems</t>
  </si>
  <si>
    <t>Ivan Damnjanovic</t>
  </si>
  <si>
    <t>BEAMP Project Timeline</t>
  </si>
  <si>
    <t>User Studies &amp; Feedback Collection</t>
  </si>
  <si>
    <t>Function</t>
  </si>
  <si>
    <t>Model</t>
  </si>
  <si>
    <t>Technical Lead</t>
  </si>
  <si>
    <t>Data Scientist</t>
  </si>
  <si>
    <t>Data Analyst</t>
  </si>
  <si>
    <t>Data Engineer</t>
  </si>
  <si>
    <t>Man-hours Needed</t>
  </si>
  <si>
    <t>Developer - Senior</t>
  </si>
  <si>
    <t>Developer - Junior</t>
  </si>
  <si>
    <t>Platform 
(Data Engineering)</t>
  </si>
  <si>
    <t>Solution Components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</si>
</sst>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164" formatCode="0.0"/>
    <numFmt numFmtId="165" formatCode="ddd\,\ m/d/yyyy"/>
    <numFmt numFmtId="166" formatCode="mmm\ d\,\ yyyy"/>
    <numFmt numFmtId="167" formatCode="d"/>
    <numFmt numFmtId="168" formatCode="m/d/yy;@"/>
  </numFmts>
  <fonts count="23" x14ac:knownFonts="1">
    <font>
      <sz val="12"/>
      <color theme="1"/>
      <name val="Arial"/>
    </font>
    <font>
      <sz val="12"/>
      <color theme="1"/>
      <name val="Arial"/>
      <family val="2"/>
    </font>
    <font>
      <sz val="12"/>
      <color theme="1"/>
      <name val="Arial"/>
      <family val="2"/>
    </font>
    <font>
      <b/>
      <sz val="12"/>
      <color theme="1"/>
      <name val="Arial"/>
      <family val="2"/>
    </font>
    <font>
      <sz val="12"/>
      <color theme="1"/>
      <name val="Arial"/>
      <family val="2"/>
    </font>
    <font>
      <sz val="11"/>
      <color theme="0"/>
      <name val="Calibri"/>
      <family val="2"/>
      <scheme val="minor"/>
    </font>
    <font>
      <b/>
      <sz val="22"/>
      <color theme="1" tint="0.34998626667073579"/>
      <name val="Calibri"/>
      <family val="2"/>
      <scheme val="major"/>
    </font>
    <font>
      <sz val="11"/>
      <color theme="1"/>
      <name val="Calibri"/>
      <family val="2"/>
      <scheme val="minor"/>
    </font>
    <font>
      <b/>
      <sz val="20"/>
      <color theme="4" tint="-0.249977111117893"/>
      <name val="Calibri"/>
      <family val="2"/>
      <scheme val="major"/>
    </font>
    <font>
      <sz val="10"/>
      <name val="Calibri"/>
      <family val="2"/>
      <scheme val="minor"/>
    </font>
    <font>
      <b/>
      <sz val="11"/>
      <name val="Calibri"/>
      <family val="2"/>
      <scheme val="minor"/>
    </font>
    <font>
      <sz val="14"/>
      <color theme="1"/>
      <name val="Calibri"/>
      <family val="2"/>
      <scheme val="minor"/>
    </font>
    <font>
      <u/>
      <sz val="11"/>
      <color indexed="12"/>
      <name val="Arial"/>
      <family val="2"/>
    </font>
    <font>
      <sz val="10"/>
      <name val="Arial"/>
      <family val="2"/>
    </font>
    <font>
      <sz val="9"/>
      <name val="Calibri"/>
      <family val="2"/>
      <scheme val="minor"/>
    </font>
    <font>
      <b/>
      <sz val="9"/>
      <color theme="0"/>
      <name val="Calibri"/>
      <family val="2"/>
      <scheme val="minor"/>
    </font>
    <font>
      <sz val="8"/>
      <color theme="0"/>
      <name val="Calibri"/>
      <family val="2"/>
      <scheme val="minor"/>
    </font>
    <font>
      <b/>
      <sz val="11"/>
      <color theme="1"/>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s>
  <fills count="15">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s>
  <borders count="2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top/>
      <bottom style="thin">
        <color indexed="64"/>
      </bottom>
      <diagonal/>
    </border>
  </borders>
  <cellStyleXfs count="17">
    <xf numFmtId="0" fontId="0" fillId="0" borderId="0"/>
    <xf numFmtId="44" fontId="1" fillId="0" borderId="0" applyFont="0" applyFill="0" applyBorder="0" applyAlignment="0" applyProtection="0"/>
    <xf numFmtId="0" fontId="2" fillId="0" borderId="1"/>
    <xf numFmtId="44" fontId="1" fillId="0" borderId="1" applyFont="0" applyFill="0" applyBorder="0" applyAlignment="0" applyProtection="0"/>
    <xf numFmtId="9" fontId="4" fillId="0" borderId="0" applyFont="0" applyFill="0" applyBorder="0" applyAlignment="0" applyProtection="0"/>
    <xf numFmtId="0" fontId="5" fillId="0" borderId="1"/>
    <xf numFmtId="0" fontId="6" fillId="0" borderId="1" applyNumberFormat="0" applyFill="0" applyBorder="0" applyAlignment="0" applyProtection="0"/>
    <xf numFmtId="0" fontId="7" fillId="0" borderId="1"/>
    <xf numFmtId="0" fontId="11" fillId="0" borderId="1" applyNumberFormat="0" applyFill="0" applyAlignment="0" applyProtection="0"/>
    <xf numFmtId="0" fontId="12" fillId="0" borderId="1" applyNumberFormat="0" applyFill="0" applyBorder="0" applyAlignment="0" applyProtection="0">
      <alignment vertical="top"/>
      <protection locked="0"/>
    </xf>
    <xf numFmtId="0" fontId="11" fillId="0" borderId="1" applyNumberFormat="0" applyFill="0" applyProtection="0">
      <alignment vertical="top"/>
    </xf>
    <xf numFmtId="0" fontId="7" fillId="0" borderId="1" applyNumberFormat="0" applyFill="0" applyProtection="0">
      <alignment horizontal="right" indent="1"/>
    </xf>
    <xf numFmtId="165" fontId="7" fillId="0" borderId="11">
      <alignment horizontal="center" vertical="center"/>
    </xf>
    <xf numFmtId="0" fontId="7" fillId="0" borderId="19" applyFill="0">
      <alignment horizontal="center" vertical="center"/>
    </xf>
    <xf numFmtId="9" fontId="7" fillId="0" borderId="1" applyFont="0" applyFill="0" applyBorder="0" applyAlignment="0" applyProtection="0"/>
    <xf numFmtId="0" fontId="7" fillId="0" borderId="19" applyFill="0">
      <alignment horizontal="left" vertical="center" indent="2"/>
    </xf>
    <xf numFmtId="168" fontId="7" fillId="0" borderId="19" applyFill="0">
      <alignment horizontal="center" vertical="center"/>
    </xf>
  </cellStyleXfs>
  <cellXfs count="134">
    <xf numFmtId="0" fontId="0" fillId="0" borderId="0" xfId="0"/>
    <xf numFmtId="0" fontId="1" fillId="0" borderId="0" xfId="0" applyFont="1"/>
    <xf numFmtId="0" fontId="0" fillId="0" borderId="2" xfId="0" applyBorder="1" applyAlignment="1">
      <alignment horizontal="center" vertical="center"/>
    </xf>
    <xf numFmtId="44" fontId="0" fillId="0" borderId="2" xfId="1" applyFont="1" applyBorder="1" applyAlignment="1">
      <alignment horizontal="center" vertical="center"/>
    </xf>
    <xf numFmtId="0" fontId="0" fillId="0" borderId="1" xfId="0" applyBorder="1"/>
    <xf numFmtId="0" fontId="1" fillId="0" borderId="2" xfId="0" applyFont="1" applyBorder="1" applyAlignment="1">
      <alignment horizontal="center"/>
    </xf>
    <xf numFmtId="0" fontId="0" fillId="0" borderId="2" xfId="0" applyBorder="1" applyAlignment="1">
      <alignment horizontal="center"/>
    </xf>
    <xf numFmtId="0" fontId="1" fillId="0" borderId="2" xfId="0" applyFont="1" applyBorder="1" applyAlignment="1">
      <alignment horizontal="center" vertical="center"/>
    </xf>
    <xf numFmtId="0" fontId="1" fillId="0" borderId="1" xfId="0" applyFont="1" applyBorder="1"/>
    <xf numFmtId="0" fontId="1" fillId="0" borderId="1" xfId="0" applyFont="1" applyBorder="1" applyAlignment="1">
      <alignment horizontal="center" vertical="center"/>
    </xf>
    <xf numFmtId="0" fontId="3" fillId="0" borderId="1" xfId="0" applyFont="1" applyBorder="1" applyAlignment="1">
      <alignment horizontal="center" vertical="center"/>
    </xf>
    <xf numFmtId="44" fontId="0" fillId="0" borderId="2" xfId="1" applyFont="1" applyBorder="1" applyAlignment="1">
      <alignment horizontal="center"/>
    </xf>
    <xf numFmtId="44" fontId="0" fillId="0" borderId="2" xfId="0" applyNumberFormat="1" applyBorder="1" applyAlignment="1">
      <alignment horizontal="center"/>
    </xf>
    <xf numFmtId="44" fontId="0" fillId="0" borderId="0" xfId="0" applyNumberFormat="1"/>
    <xf numFmtId="0" fontId="0" fillId="0" borderId="0" xfId="0" applyAlignment="1">
      <alignment horizontal="center" vertical="center"/>
    </xf>
    <xf numFmtId="0" fontId="0" fillId="0" borderId="2" xfId="0" applyBorder="1"/>
    <xf numFmtId="0" fontId="3" fillId="0" borderId="2" xfId="0" applyFont="1" applyBorder="1" applyAlignment="1">
      <alignment horizontal="center" vertical="center"/>
    </xf>
    <xf numFmtId="0" fontId="3" fillId="0" borderId="2" xfId="0" applyFont="1" applyBorder="1" applyAlignment="1">
      <alignment horizontal="center" vertical="center" wrapText="1"/>
    </xf>
    <xf numFmtId="0" fontId="3" fillId="0" borderId="0" xfId="0" applyFont="1"/>
    <xf numFmtId="0" fontId="3" fillId="2" borderId="2" xfId="0" applyFont="1" applyFill="1" applyBorder="1" applyAlignment="1">
      <alignment horizontal="center" vertical="center" wrapText="1"/>
    </xf>
    <xf numFmtId="0" fontId="0" fillId="0" borderId="2" xfId="0" applyBorder="1" applyAlignment="1">
      <alignment horizontal="center" vertical="center" wrapText="1"/>
    </xf>
    <xf numFmtId="0" fontId="1" fillId="2" borderId="2" xfId="0" applyFont="1" applyFill="1" applyBorder="1" applyAlignment="1">
      <alignment horizontal="center" vertical="center" wrapText="1"/>
    </xf>
    <xf numFmtId="44" fontId="0" fillId="2" borderId="2" xfId="1" applyFont="1" applyFill="1" applyBorder="1" applyAlignment="1">
      <alignment horizontal="center" vertical="center"/>
    </xf>
    <xf numFmtId="9" fontId="0" fillId="0" borderId="2" xfId="4" applyFont="1" applyBorder="1" applyAlignment="1">
      <alignment horizontal="center" vertical="center"/>
    </xf>
    <xf numFmtId="9" fontId="0" fillId="2" borderId="2" xfId="4" applyFont="1" applyFill="1" applyBorder="1" applyAlignment="1">
      <alignment horizontal="center" vertical="center"/>
    </xf>
    <xf numFmtId="44" fontId="0" fillId="0" borderId="2" xfId="0" applyNumberFormat="1" applyBorder="1" applyAlignment="1">
      <alignment horizontal="center" vertical="center"/>
    </xf>
    <xf numFmtId="44" fontId="0" fillId="2" borderId="2" xfId="0" applyNumberFormat="1" applyFill="1" applyBorder="1" applyAlignment="1">
      <alignment horizontal="center" vertical="center"/>
    </xf>
    <xf numFmtId="44" fontId="0" fillId="0" borderId="2" xfId="0" applyNumberFormat="1" applyBorder="1"/>
    <xf numFmtId="44" fontId="0" fillId="2" borderId="2" xfId="0" applyNumberFormat="1" applyFill="1" applyBorder="1"/>
    <xf numFmtId="0" fontId="0" fillId="2" borderId="2" xfId="0" applyFill="1" applyBorder="1"/>
    <xf numFmtId="44" fontId="3" fillId="0" borderId="0" xfId="0" applyNumberFormat="1"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xf>
    <xf numFmtId="0" fontId="1" fillId="0" borderId="2" xfId="1" applyNumberFormat="1"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right" vertical="center"/>
    </xf>
    <xf numFmtId="0" fontId="3" fillId="0" borderId="2" xfId="0" applyFont="1" applyBorder="1" applyAlignment="1">
      <alignment horizontal="right"/>
    </xf>
    <xf numFmtId="164" fontId="1" fillId="0" borderId="2" xfId="1" applyNumberFormat="1" applyFont="1" applyBorder="1" applyAlignment="1">
      <alignment horizontal="center" vertical="center"/>
    </xf>
    <xf numFmtId="1" fontId="1" fillId="0" borderId="2" xfId="1" applyNumberFormat="1" applyFont="1" applyBorder="1" applyAlignment="1">
      <alignment horizontal="center" vertical="center"/>
    </xf>
    <xf numFmtId="0" fontId="1" fillId="0" borderId="2" xfId="1" applyNumberFormat="1" applyFont="1" applyFill="1" applyBorder="1" applyAlignment="1">
      <alignment horizontal="center" vertical="center"/>
    </xf>
    <xf numFmtId="0" fontId="5" fillId="0" borderId="1" xfId="5" applyAlignment="1">
      <alignment wrapText="1"/>
    </xf>
    <xf numFmtId="0" fontId="6" fillId="0" borderId="1" xfId="6" applyAlignment="1">
      <alignment horizontal="left"/>
    </xf>
    <xf numFmtId="0" fontId="8" fillId="0" borderId="1" xfId="7" applyFont="1" applyAlignment="1">
      <alignment horizontal="left"/>
    </xf>
    <xf numFmtId="0" fontId="9" fillId="0" borderId="1" xfId="7" applyFont="1"/>
    <xf numFmtId="0" fontId="9" fillId="0" borderId="1" xfId="7" applyFont="1" applyAlignment="1">
      <alignment horizontal="center"/>
    </xf>
    <xf numFmtId="0" fontId="9" fillId="0" borderId="1" xfId="7" applyFont="1" applyAlignment="1">
      <alignment horizontal="center" vertical="center"/>
    </xf>
    <xf numFmtId="0" fontId="7" fillId="0" borderId="1" xfId="7"/>
    <xf numFmtId="0" fontId="10" fillId="0" borderId="1" xfId="7" applyFont="1"/>
    <xf numFmtId="0" fontId="5" fillId="0" borderId="1" xfId="5"/>
    <xf numFmtId="0" fontId="11" fillId="0" borderId="1" xfId="8"/>
    <xf numFmtId="0" fontId="7" fillId="0" borderId="1" xfId="7" applyAlignment="1">
      <alignment horizontal="center"/>
    </xf>
    <xf numFmtId="0" fontId="13" fillId="0" borderId="1" xfId="9" applyFont="1" applyProtection="1">
      <alignment vertical="top"/>
    </xf>
    <xf numFmtId="0" fontId="11" fillId="0" borderId="1" xfId="10">
      <alignment vertical="top"/>
    </xf>
    <xf numFmtId="0" fontId="7" fillId="0" borderId="11" xfId="7" applyBorder="1" applyAlignment="1">
      <alignment horizontal="center" vertical="center"/>
    </xf>
    <xf numFmtId="0" fontId="7" fillId="0" borderId="15" xfId="7" applyBorder="1"/>
    <xf numFmtId="167" fontId="14" fillId="3" borderId="16" xfId="7" applyNumberFormat="1" applyFont="1" applyFill="1" applyBorder="1" applyAlignment="1">
      <alignment horizontal="center" vertical="center"/>
    </xf>
    <xf numFmtId="167" fontId="14" fillId="3" borderId="1" xfId="7" applyNumberFormat="1" applyFont="1" applyFill="1" applyAlignment="1">
      <alignment horizontal="center" vertical="center"/>
    </xf>
    <xf numFmtId="167" fontId="14" fillId="3" borderId="10" xfId="7" applyNumberFormat="1" applyFont="1" applyFill="1" applyBorder="1" applyAlignment="1">
      <alignment horizontal="center" vertical="center"/>
    </xf>
    <xf numFmtId="0" fontId="15" fillId="4" borderId="13" xfId="7" applyFont="1" applyFill="1" applyBorder="1" applyAlignment="1">
      <alignment horizontal="left" vertical="center" indent="1"/>
    </xf>
    <xf numFmtId="0" fontId="15" fillId="4" borderId="13" xfId="7" applyFont="1" applyFill="1" applyBorder="1" applyAlignment="1">
      <alignment horizontal="center" vertical="center" wrapText="1"/>
    </xf>
    <xf numFmtId="0" fontId="16" fillId="5" borderId="17" xfId="7" applyFont="1" applyFill="1" applyBorder="1" applyAlignment="1">
      <alignment horizontal="center" vertical="center" shrinkToFit="1"/>
    </xf>
    <xf numFmtId="0" fontId="7" fillId="0" borderId="1" xfId="7" applyAlignment="1">
      <alignment wrapText="1"/>
    </xf>
    <xf numFmtId="0" fontId="7" fillId="0" borderId="18" xfId="7" applyBorder="1" applyAlignment="1">
      <alignment vertical="center"/>
    </xf>
    <xf numFmtId="0" fontId="17" fillId="6" borderId="19" xfId="7" applyFont="1" applyFill="1" applyBorder="1" applyAlignment="1">
      <alignment horizontal="left" vertical="center" indent="1"/>
    </xf>
    <xf numFmtId="0" fontId="7" fillId="6" borderId="19" xfId="13" applyFill="1">
      <alignment horizontal="center" vertical="center"/>
    </xf>
    <xf numFmtId="9" fontId="18" fillId="6" borderId="19" xfId="14" applyFont="1" applyFill="1" applyBorder="1" applyAlignment="1">
      <alignment horizontal="center" vertical="center"/>
    </xf>
    <xf numFmtId="168" fontId="7" fillId="6" borderId="19" xfId="7" applyNumberFormat="1" applyFill="1" applyBorder="1" applyAlignment="1">
      <alignment horizontal="center" vertical="center"/>
    </xf>
    <xf numFmtId="168" fontId="18" fillId="6" borderId="19" xfId="7" applyNumberFormat="1" applyFont="1" applyFill="1" applyBorder="1" applyAlignment="1">
      <alignment horizontal="center" vertical="center"/>
    </xf>
    <xf numFmtId="0" fontId="18" fillId="0" borderId="19" xfId="7" applyFont="1" applyBorder="1" applyAlignment="1">
      <alignment horizontal="center" vertical="center"/>
    </xf>
    <xf numFmtId="0" fontId="7" fillId="0" borderId="1" xfId="7" applyAlignment="1">
      <alignment vertical="center"/>
    </xf>
    <xf numFmtId="0" fontId="7" fillId="7" borderId="19" xfId="15" applyFill="1">
      <alignment horizontal="left" vertical="center" indent="2"/>
    </xf>
    <xf numFmtId="0" fontId="7" fillId="7" borderId="19" xfId="13" applyFill="1">
      <alignment horizontal="center" vertical="center"/>
    </xf>
    <xf numFmtId="9" fontId="18" fillId="7" borderId="19" xfId="14" applyFont="1" applyFill="1" applyBorder="1" applyAlignment="1">
      <alignment horizontal="center" vertical="center"/>
    </xf>
    <xf numFmtId="168" fontId="7" fillId="7" borderId="19" xfId="16" applyFill="1">
      <alignment horizontal="center" vertical="center"/>
    </xf>
    <xf numFmtId="0" fontId="7" fillId="0" borderId="18" xfId="7" applyBorder="1" applyAlignment="1">
      <alignment horizontal="right" vertical="center"/>
    </xf>
    <xf numFmtId="0" fontId="17" fillId="8" borderId="19" xfId="7" applyFont="1" applyFill="1" applyBorder="1" applyAlignment="1">
      <alignment horizontal="left" vertical="center" indent="1"/>
    </xf>
    <xf numFmtId="0" fontId="7" fillId="8" borderId="19" xfId="13" applyFill="1">
      <alignment horizontal="center" vertical="center"/>
    </xf>
    <xf numFmtId="9" fontId="18" fillId="8" borderId="19" xfId="14" applyFont="1" applyFill="1" applyBorder="1" applyAlignment="1">
      <alignment horizontal="center" vertical="center"/>
    </xf>
    <xf numFmtId="168" fontId="7" fillId="8" borderId="19" xfId="7" applyNumberFormat="1" applyFill="1" applyBorder="1" applyAlignment="1">
      <alignment horizontal="center" vertical="center"/>
    </xf>
    <xf numFmtId="168" fontId="18" fillId="8" borderId="19" xfId="7" applyNumberFormat="1" applyFont="1" applyFill="1" applyBorder="1" applyAlignment="1">
      <alignment horizontal="center" vertical="center"/>
    </xf>
    <xf numFmtId="0" fontId="7" fillId="9" borderId="19" xfId="15" applyFill="1">
      <alignment horizontal="left" vertical="center" indent="2"/>
    </xf>
    <xf numFmtId="0" fontId="7" fillId="9" borderId="19" xfId="13" applyFill="1">
      <alignment horizontal="center" vertical="center"/>
    </xf>
    <xf numFmtId="9" fontId="18" fillId="9" borderId="19" xfId="14" applyFont="1" applyFill="1" applyBorder="1" applyAlignment="1">
      <alignment horizontal="center" vertical="center"/>
    </xf>
    <xf numFmtId="168" fontId="7" fillId="9" borderId="19" xfId="16" applyFill="1">
      <alignment horizontal="center" vertical="center"/>
    </xf>
    <xf numFmtId="0" fontId="17" fillId="10" borderId="19" xfId="7" applyFont="1" applyFill="1" applyBorder="1" applyAlignment="1">
      <alignment horizontal="left" vertical="center" indent="1"/>
    </xf>
    <xf numFmtId="0" fontId="7" fillId="10" borderId="19" xfId="13" applyFill="1">
      <alignment horizontal="center" vertical="center"/>
    </xf>
    <xf numFmtId="9" fontId="18" fillId="10" borderId="19" xfId="14" applyFont="1" applyFill="1" applyBorder="1" applyAlignment="1">
      <alignment horizontal="center" vertical="center"/>
    </xf>
    <xf numFmtId="168" fontId="7" fillId="10" borderId="19" xfId="7" applyNumberFormat="1" applyFill="1" applyBorder="1" applyAlignment="1">
      <alignment horizontal="center" vertical="center"/>
    </xf>
    <xf numFmtId="168" fontId="18" fillId="10" borderId="19" xfId="7" applyNumberFormat="1" applyFont="1" applyFill="1" applyBorder="1" applyAlignment="1">
      <alignment horizontal="center" vertical="center"/>
    </xf>
    <xf numFmtId="0" fontId="7" fillId="11" borderId="19" xfId="15" applyFill="1">
      <alignment horizontal="left" vertical="center" indent="2"/>
    </xf>
    <xf numFmtId="0" fontId="7" fillId="11" borderId="19" xfId="13" applyFill="1">
      <alignment horizontal="center" vertical="center"/>
    </xf>
    <xf numFmtId="9" fontId="18" fillId="11" borderId="19" xfId="14" applyFont="1" applyFill="1" applyBorder="1" applyAlignment="1">
      <alignment horizontal="center" vertical="center"/>
    </xf>
    <xf numFmtId="168" fontId="7" fillId="11" borderId="19" xfId="16" applyFill="1">
      <alignment horizontal="center" vertical="center"/>
    </xf>
    <xf numFmtId="0" fontId="17" fillId="12" borderId="19" xfId="7" applyFont="1" applyFill="1" applyBorder="1" applyAlignment="1">
      <alignment horizontal="left" vertical="center" indent="1"/>
    </xf>
    <xf numFmtId="0" fontId="7" fillId="12" borderId="19" xfId="13" applyFill="1">
      <alignment horizontal="center" vertical="center"/>
    </xf>
    <xf numFmtId="9" fontId="18" fillId="12" borderId="19" xfId="14" applyFont="1" applyFill="1" applyBorder="1" applyAlignment="1">
      <alignment horizontal="center" vertical="center"/>
    </xf>
    <xf numFmtId="168" fontId="7" fillId="12" borderId="19" xfId="7" applyNumberFormat="1" applyFill="1" applyBorder="1" applyAlignment="1">
      <alignment horizontal="center" vertical="center"/>
    </xf>
    <xf numFmtId="168" fontId="18" fillId="12" borderId="19" xfId="7" applyNumberFormat="1" applyFont="1" applyFill="1" applyBorder="1" applyAlignment="1">
      <alignment horizontal="center" vertical="center"/>
    </xf>
    <xf numFmtId="0" fontId="7" fillId="13" borderId="19" xfId="15" applyFill="1">
      <alignment horizontal="left" vertical="center" indent="2"/>
    </xf>
    <xf numFmtId="0" fontId="7" fillId="13" borderId="19" xfId="13" applyFill="1">
      <alignment horizontal="center" vertical="center"/>
    </xf>
    <xf numFmtId="9" fontId="18" fillId="13" borderId="19" xfId="14" applyFont="1" applyFill="1" applyBorder="1" applyAlignment="1">
      <alignment horizontal="center" vertical="center"/>
    </xf>
    <xf numFmtId="168" fontId="7" fillId="13" borderId="19" xfId="16" applyFill="1">
      <alignment horizontal="center" vertical="center"/>
    </xf>
    <xf numFmtId="0" fontId="7" fillId="0" borderId="19" xfId="15">
      <alignment horizontal="left" vertical="center" indent="2"/>
    </xf>
    <xf numFmtId="0" fontId="7" fillId="0" borderId="19" xfId="13">
      <alignment horizontal="center" vertical="center"/>
    </xf>
    <xf numFmtId="9" fontId="18" fillId="0" borderId="19" xfId="14" applyFont="1" applyBorder="1" applyAlignment="1">
      <alignment horizontal="center" vertical="center"/>
    </xf>
    <xf numFmtId="168" fontId="7" fillId="0" borderId="19" xfId="16">
      <alignment horizontal="center" vertical="center"/>
    </xf>
    <xf numFmtId="0" fontId="19" fillId="14" borderId="19" xfId="7" applyFont="1" applyFill="1" applyBorder="1" applyAlignment="1">
      <alignment horizontal="left" vertical="center" indent="1"/>
    </xf>
    <xf numFmtId="0" fontId="19" fillId="14" borderId="19" xfId="7" applyFont="1" applyFill="1" applyBorder="1" applyAlignment="1">
      <alignment horizontal="center" vertical="center"/>
    </xf>
    <xf numFmtId="9" fontId="18" fillId="14" borderId="19" xfId="14" applyFont="1" applyFill="1" applyBorder="1" applyAlignment="1">
      <alignment horizontal="center" vertical="center"/>
    </xf>
    <xf numFmtId="168" fontId="20" fillId="14" borderId="19" xfId="7" applyNumberFormat="1" applyFont="1" applyFill="1" applyBorder="1" applyAlignment="1">
      <alignment horizontal="left" vertical="center"/>
    </xf>
    <xf numFmtId="168" fontId="18" fillId="14" borderId="19" xfId="7" applyNumberFormat="1" applyFont="1" applyFill="1" applyBorder="1" applyAlignment="1">
      <alignment horizontal="center" vertical="center"/>
    </xf>
    <xf numFmtId="0" fontId="18" fillId="14" borderId="19" xfId="7" applyFont="1" applyFill="1" applyBorder="1" applyAlignment="1">
      <alignment horizontal="center" vertical="center"/>
    </xf>
    <xf numFmtId="0" fontId="7" fillId="14" borderId="18" xfId="7" applyFill="1" applyBorder="1" applyAlignment="1">
      <alignment vertical="center"/>
    </xf>
    <xf numFmtId="0" fontId="7" fillId="0" borderId="1" xfId="7" applyAlignment="1">
      <alignment horizontal="right" vertical="center"/>
    </xf>
    <xf numFmtId="0" fontId="21" fillId="0" borderId="1" xfId="7" applyFont="1"/>
    <xf numFmtId="0" fontId="5" fillId="0" borderId="1" xfId="7" applyFont="1" applyAlignment="1">
      <alignment horizontal="center"/>
    </xf>
    <xf numFmtId="0" fontId="22" fillId="0" borderId="1" xfId="9" applyFont="1" applyAlignment="1" applyProtection="1"/>
    <xf numFmtId="0" fontId="1" fillId="0" borderId="2" xfId="0" applyFont="1"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2" xfId="0" applyFont="1" applyBorder="1" applyAlignment="1">
      <alignment horizontal="center"/>
    </xf>
    <xf numFmtId="0" fontId="3" fillId="0" borderId="20" xfId="0" applyFont="1" applyBorder="1" applyAlignment="1">
      <alignment horizontal="center"/>
    </xf>
    <xf numFmtId="166" fontId="7" fillId="3" borderId="12" xfId="7" applyNumberFormat="1" applyFill="1" applyBorder="1" applyAlignment="1">
      <alignment horizontal="left" vertical="center" wrapText="1" indent="1"/>
    </xf>
    <xf numFmtId="166" fontId="7" fillId="3" borderId="13" xfId="7" applyNumberFormat="1" applyFill="1" applyBorder="1" applyAlignment="1">
      <alignment horizontal="left" vertical="center" wrapText="1" indent="1"/>
    </xf>
    <xf numFmtId="166" fontId="7" fillId="3" borderId="14" xfId="7" applyNumberFormat="1" applyFill="1" applyBorder="1" applyAlignment="1">
      <alignment horizontal="left" vertical="center" wrapText="1" indent="1"/>
    </xf>
    <xf numFmtId="0" fontId="7" fillId="0" borderId="1" xfId="11">
      <alignment horizontal="right" indent="1"/>
    </xf>
    <xf numFmtId="0" fontId="7" fillId="0" borderId="10" xfId="11" applyBorder="1">
      <alignment horizontal="right" indent="1"/>
    </xf>
    <xf numFmtId="14" fontId="7" fillId="0" borderId="11" xfId="12" applyNumberFormat="1">
      <alignment horizontal="center" vertical="center"/>
    </xf>
  </cellXfs>
  <cellStyles count="17">
    <cellStyle name="Currency" xfId="1" builtinId="4"/>
    <cellStyle name="Currency 2" xfId="3" xr:uid="{FC819BD1-01B5-FC40-9322-C5E2DBE59286}"/>
    <cellStyle name="Date" xfId="16" xr:uid="{AB349A2F-051D-4E4D-9C30-4E00A8589005}"/>
    <cellStyle name="Heading 1 2" xfId="8" xr:uid="{71111A30-4446-3745-83D1-4697C96690F3}"/>
    <cellStyle name="Heading 2 2" xfId="10" xr:uid="{7777D38B-F017-474C-A344-E0AE8FF3BEFA}"/>
    <cellStyle name="Heading 3 2" xfId="11" xr:uid="{593B7C6E-7244-EF4A-AAF9-0D054FD9B465}"/>
    <cellStyle name="Hyperlink 2" xfId="9" xr:uid="{EB97079A-9752-2448-9016-FC656FB9301C}"/>
    <cellStyle name="Name" xfId="13" xr:uid="{F708CE78-A480-7B4A-BAA2-B7754F414F88}"/>
    <cellStyle name="Normal" xfId="0" builtinId="0"/>
    <cellStyle name="Normal 2" xfId="2" xr:uid="{750D1269-8822-A144-AA71-25957777425B}"/>
    <cellStyle name="Normal 3" xfId="7" xr:uid="{76EDB5E2-385D-BA4F-83AC-4CF934DFF2B9}"/>
    <cellStyle name="Percent" xfId="4" builtinId="5"/>
    <cellStyle name="Percent 2" xfId="14" xr:uid="{DD4C7766-DED0-2441-BE03-F6858D0EBEB8}"/>
    <cellStyle name="Project Start" xfId="12" xr:uid="{9350E083-D2C4-0044-9F6F-F0AE2A0C850A}"/>
    <cellStyle name="Task" xfId="15" xr:uid="{4F970D8B-9F25-DD4B-8755-22CE77161AB0}"/>
    <cellStyle name="Title 2" xfId="6" xr:uid="{43A9EF61-0893-BE4A-8695-054BE841D561}"/>
    <cellStyle name="zHiddenText" xfId="5" xr:uid="{07162D99-C3F5-4D48-ACA0-5B9C148A6678}"/>
  </cellStyles>
  <dxfs count="3">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
                <a:ea typeface="+mn-ea"/>
                <a:cs typeface="+mn-cs"/>
              </a:defRPr>
            </a:pPr>
            <a:r>
              <a:rPr lang="en-US" sz="1600">
                <a:latin typeface=""/>
              </a:rPr>
              <a:t>Financial Projections:</a:t>
            </a:r>
            <a:r>
              <a:rPr lang="en-US" sz="1600" baseline="0">
                <a:latin typeface=""/>
              </a:rPr>
              <a:t> 2020-2026</a:t>
            </a:r>
            <a:endParaRPr lang="en-US" sz="1600">
              <a:latin typeface=""/>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
              <a:ea typeface="+mn-ea"/>
              <a:cs typeface="+mn-cs"/>
            </a:defRPr>
          </a:pPr>
          <a:endParaRPr lang="en-US"/>
        </a:p>
      </c:txPr>
    </c:title>
    <c:autoTitleDeleted val="0"/>
    <c:plotArea>
      <c:layout/>
      <c:barChart>
        <c:barDir val="col"/>
        <c:grouping val="stacked"/>
        <c:varyColors val="0"/>
        <c:ser>
          <c:idx val="2"/>
          <c:order val="0"/>
          <c:tx>
            <c:strRef>
              <c:f>'Cash Flow Summary (Bottom-Up)'!$D$3</c:f>
              <c:strCache>
                <c:ptCount val="1"/>
                <c:pt idx="0">
                  <c:v>Cost</c:v>
                </c:pt>
              </c:strCache>
            </c:strRef>
          </c:tx>
          <c:spPr>
            <a:solidFill>
              <a:srgbClr val="FF0000"/>
            </a:solidFill>
            <a:ln>
              <a:noFill/>
            </a:ln>
            <a:effectLst/>
          </c:spPr>
          <c:invertIfNegative val="0"/>
          <c:cat>
            <c:numRef>
              <c:f>'Cash Flow Summary (Bottom-Up)'!$B$4:$B$10</c:f>
              <c:numCache>
                <c:formatCode>General</c:formatCode>
                <c:ptCount val="7"/>
                <c:pt idx="0">
                  <c:v>2022</c:v>
                </c:pt>
                <c:pt idx="1">
                  <c:v>2023</c:v>
                </c:pt>
                <c:pt idx="2">
                  <c:v>2024</c:v>
                </c:pt>
                <c:pt idx="3">
                  <c:v>2025</c:v>
                </c:pt>
                <c:pt idx="4">
                  <c:v>2026</c:v>
                </c:pt>
                <c:pt idx="5">
                  <c:v>2027</c:v>
                </c:pt>
                <c:pt idx="6">
                  <c:v>2028</c:v>
                </c:pt>
              </c:numCache>
            </c:numRef>
          </c:cat>
          <c:val>
            <c:numRef>
              <c:f>'Cash Flow Summary (Bottom-Up)'!$D$4:$D$10</c:f>
              <c:numCache>
                <c:formatCode>_("$"* #,##0.00_);_("$"* \(#,##0.00\);_("$"* "-"??_);_(@_)</c:formatCode>
                <c:ptCount val="7"/>
                <c:pt idx="0">
                  <c:v>0</c:v>
                </c:pt>
                <c:pt idx="1">
                  <c:v>300000</c:v>
                </c:pt>
                <c:pt idx="2">
                  <c:v>1200000</c:v>
                </c:pt>
                <c:pt idx="3">
                  <c:v>2500000</c:v>
                </c:pt>
                <c:pt idx="4">
                  <c:v>12000000</c:v>
                </c:pt>
                <c:pt idx="5">
                  <c:v>18000000</c:v>
                </c:pt>
                <c:pt idx="6">
                  <c:v>22000000</c:v>
                </c:pt>
              </c:numCache>
            </c:numRef>
          </c:val>
          <c:extLst>
            <c:ext xmlns:c16="http://schemas.microsoft.com/office/drawing/2014/chart" uri="{C3380CC4-5D6E-409C-BE32-E72D297353CC}">
              <c16:uniqueId val="{00000000-A03F-4F45-9E73-EFE971FB4FAE}"/>
            </c:ext>
          </c:extLst>
        </c:ser>
        <c:ser>
          <c:idx val="1"/>
          <c:order val="1"/>
          <c:tx>
            <c:strRef>
              <c:f>'Cash Flow Summary (Bottom-Up)'!$C$3</c:f>
              <c:strCache>
                <c:ptCount val="1"/>
                <c:pt idx="0">
                  <c:v>Revenue</c:v>
                </c:pt>
              </c:strCache>
            </c:strRef>
          </c:tx>
          <c:spPr>
            <a:solidFill>
              <a:srgbClr val="00B050"/>
            </a:solidFill>
            <a:ln>
              <a:noFill/>
            </a:ln>
            <a:effectLst/>
          </c:spPr>
          <c:invertIfNegative val="0"/>
          <c:cat>
            <c:numRef>
              <c:f>'Cash Flow Summary (Bottom-Up)'!$B$4:$B$10</c:f>
              <c:numCache>
                <c:formatCode>General</c:formatCode>
                <c:ptCount val="7"/>
                <c:pt idx="0">
                  <c:v>2022</c:v>
                </c:pt>
                <c:pt idx="1">
                  <c:v>2023</c:v>
                </c:pt>
                <c:pt idx="2">
                  <c:v>2024</c:v>
                </c:pt>
                <c:pt idx="3">
                  <c:v>2025</c:v>
                </c:pt>
                <c:pt idx="4">
                  <c:v>2026</c:v>
                </c:pt>
                <c:pt idx="5">
                  <c:v>2027</c:v>
                </c:pt>
                <c:pt idx="6">
                  <c:v>2028</c:v>
                </c:pt>
              </c:numCache>
            </c:numRef>
          </c:cat>
          <c:val>
            <c:numRef>
              <c:f>'Cash Flow Summary (Bottom-Up)'!$C$4:$C$10</c:f>
              <c:numCache>
                <c:formatCode>_("$"* #,##0.00_);_("$"* \(#,##0.00\);_("$"* "-"??_);_(@_)</c:formatCode>
                <c:ptCount val="7"/>
                <c:pt idx="0">
                  <c:v>0</c:v>
                </c:pt>
                <c:pt idx="1">
                  <c:v>1125000</c:v>
                </c:pt>
                <c:pt idx="2">
                  <c:v>3375000</c:v>
                </c:pt>
                <c:pt idx="3">
                  <c:v>10125000</c:v>
                </c:pt>
                <c:pt idx="4">
                  <c:v>26250000</c:v>
                </c:pt>
                <c:pt idx="5">
                  <c:v>48750000</c:v>
                </c:pt>
                <c:pt idx="6">
                  <c:v>97500000</c:v>
                </c:pt>
              </c:numCache>
            </c:numRef>
          </c:val>
          <c:extLst>
            <c:ext xmlns:c16="http://schemas.microsoft.com/office/drawing/2014/chart" uri="{C3380CC4-5D6E-409C-BE32-E72D297353CC}">
              <c16:uniqueId val="{00000001-A03F-4F45-9E73-EFE971FB4FAE}"/>
            </c:ext>
          </c:extLst>
        </c:ser>
        <c:dLbls>
          <c:showLegendKey val="0"/>
          <c:showVal val="0"/>
          <c:showCatName val="0"/>
          <c:showSerName val="0"/>
          <c:showPercent val="0"/>
          <c:showBubbleSize val="0"/>
        </c:dLbls>
        <c:gapWidth val="219"/>
        <c:overlap val="100"/>
        <c:axId val="981138352"/>
        <c:axId val="981140000"/>
      </c:barChart>
      <c:lineChart>
        <c:grouping val="stacked"/>
        <c:varyColors val="0"/>
        <c:ser>
          <c:idx val="3"/>
          <c:order val="2"/>
          <c:tx>
            <c:strRef>
              <c:f>'Cash Flow Summary (Bottom-Up)'!$E$3</c:f>
              <c:strCache>
                <c:ptCount val="1"/>
                <c:pt idx="0">
                  <c:v>Cumulative Net Cash Flow</c:v>
                </c:pt>
              </c:strCache>
            </c:strRef>
          </c:tx>
          <c:spPr>
            <a:ln w="28575" cap="rnd">
              <a:solidFill>
                <a:schemeClr val="accent3">
                  <a:lumMod val="50000"/>
                </a:schemeClr>
              </a:solidFill>
              <a:round/>
            </a:ln>
            <a:effectLst/>
          </c:spPr>
          <c:marker>
            <c:symbol val="none"/>
          </c:marker>
          <c:cat>
            <c:numRef>
              <c:f>'Cash Flow Summary (Bottom-Up)'!$B$4:$B$10</c:f>
              <c:numCache>
                <c:formatCode>General</c:formatCode>
                <c:ptCount val="7"/>
                <c:pt idx="0">
                  <c:v>2022</c:v>
                </c:pt>
                <c:pt idx="1">
                  <c:v>2023</c:v>
                </c:pt>
                <c:pt idx="2">
                  <c:v>2024</c:v>
                </c:pt>
                <c:pt idx="3">
                  <c:v>2025</c:v>
                </c:pt>
                <c:pt idx="4">
                  <c:v>2026</c:v>
                </c:pt>
                <c:pt idx="5">
                  <c:v>2027</c:v>
                </c:pt>
                <c:pt idx="6">
                  <c:v>2028</c:v>
                </c:pt>
              </c:numCache>
            </c:numRef>
          </c:cat>
          <c:val>
            <c:numRef>
              <c:f>'Cash Flow Summary (Bottom-Up)'!$E$4:$E$10</c:f>
              <c:numCache>
                <c:formatCode>_("$"* #,##0.00_);_("$"* \(#,##0.00\);_("$"* "-"??_);_(@_)</c:formatCode>
                <c:ptCount val="7"/>
                <c:pt idx="0">
                  <c:v>0</c:v>
                </c:pt>
                <c:pt idx="1">
                  <c:v>825000</c:v>
                </c:pt>
                <c:pt idx="2">
                  <c:v>3000000</c:v>
                </c:pt>
                <c:pt idx="3">
                  <c:v>10625000</c:v>
                </c:pt>
                <c:pt idx="4">
                  <c:v>24875000</c:v>
                </c:pt>
                <c:pt idx="5">
                  <c:v>55625000</c:v>
                </c:pt>
                <c:pt idx="6">
                  <c:v>131125000</c:v>
                </c:pt>
              </c:numCache>
            </c:numRef>
          </c:val>
          <c:smooth val="0"/>
          <c:extLst>
            <c:ext xmlns:c16="http://schemas.microsoft.com/office/drawing/2014/chart" uri="{C3380CC4-5D6E-409C-BE32-E72D297353CC}">
              <c16:uniqueId val="{00000002-A03F-4F45-9E73-EFE971FB4FAE}"/>
            </c:ext>
          </c:extLst>
        </c:ser>
        <c:dLbls>
          <c:showLegendKey val="0"/>
          <c:showVal val="0"/>
          <c:showCatName val="0"/>
          <c:showSerName val="0"/>
          <c:showPercent val="0"/>
          <c:showBubbleSize val="0"/>
        </c:dLbls>
        <c:marker val="1"/>
        <c:smooth val="0"/>
        <c:axId val="981138352"/>
        <c:axId val="981140000"/>
      </c:lineChart>
      <c:catAx>
        <c:axId val="98113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
                <a:ea typeface="+mn-ea"/>
                <a:cs typeface="+mn-cs"/>
              </a:defRPr>
            </a:pPr>
            <a:endParaRPr lang="en-US"/>
          </a:p>
        </c:txPr>
        <c:crossAx val="981140000"/>
        <c:crosses val="autoZero"/>
        <c:auto val="1"/>
        <c:lblAlgn val="ctr"/>
        <c:lblOffset val="100"/>
        <c:noMultiLvlLbl val="0"/>
      </c:catAx>
      <c:valAx>
        <c:axId val="9811400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
                <a:ea typeface="+mn-ea"/>
                <a:cs typeface="+mn-cs"/>
              </a:defRPr>
            </a:pPr>
            <a:endParaRPr lang="en-US"/>
          </a:p>
        </c:txPr>
        <c:crossAx val="981138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1409700" y="419101"/>
    <xdr:ext cx="8877300" cy="5219699"/>
    <xdr:graphicFrame macro="">
      <xdr:nvGraphicFramePr>
        <xdr:cNvPr id="2" name="Chart 1">
          <a:extLst>
            <a:ext uri="{FF2B5EF4-FFF2-40B4-BE49-F238E27FC236}">
              <a16:creationId xmlns:a16="http://schemas.microsoft.com/office/drawing/2014/main" id="{45C656BF-5731-4F4E-A6A2-37B8FCE4C1E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5D401-12D9-8948-8247-96A1F2D3A00D}">
  <sheetPr>
    <tabColor theme="4"/>
  </sheetPr>
  <dimension ref="B30:J39"/>
  <sheetViews>
    <sheetView showGridLines="0" tabSelected="1" topLeftCell="A12" workbookViewId="0">
      <selection activeCell="J28" sqref="J28"/>
    </sheetView>
  </sheetViews>
  <sheetFormatPr baseColWidth="10" defaultRowHeight="16" x14ac:dyDescent="0.2"/>
  <cols>
    <col min="2" max="2" width="5" bestFit="1" customWidth="1"/>
    <col min="3" max="4" width="14.42578125" bestFit="1" customWidth="1"/>
    <col min="5" max="5" width="22" bestFit="1" customWidth="1"/>
    <col min="6" max="6" width="12.85546875" bestFit="1" customWidth="1"/>
    <col min="7" max="7" width="10.5703125" bestFit="1" customWidth="1"/>
    <col min="8" max="8" width="26.28515625" customWidth="1"/>
    <col min="11" max="11" width="5" bestFit="1" customWidth="1"/>
    <col min="12" max="13" width="14.42578125" bestFit="1" customWidth="1"/>
    <col min="14" max="14" width="22" bestFit="1" customWidth="1"/>
    <col min="15" max="15" width="5.28515625" bestFit="1" customWidth="1"/>
    <col min="16" max="16" width="5.85546875" bestFit="1" customWidth="1"/>
    <col min="17" max="17" width="4.85546875" bestFit="1" customWidth="1"/>
  </cols>
  <sheetData>
    <row r="30" spans="2:10" x14ac:dyDescent="0.2">
      <c r="B30" s="4"/>
      <c r="C30" s="118" t="s">
        <v>50</v>
      </c>
      <c r="D30" s="119"/>
      <c r="E30" s="119"/>
      <c r="F30" s="118" t="s">
        <v>49</v>
      </c>
      <c r="G30" s="118"/>
      <c r="H30" s="118"/>
      <c r="I30" s="120" t="s">
        <v>19</v>
      </c>
      <c r="J30" s="121"/>
    </row>
    <row r="31" spans="2:10" ht="49" customHeight="1" x14ac:dyDescent="0.2">
      <c r="B31" s="4"/>
      <c r="C31" s="118" t="s">
        <v>60</v>
      </c>
      <c r="D31" s="118"/>
      <c r="E31" s="118"/>
      <c r="F31" s="118" t="s">
        <v>61</v>
      </c>
      <c r="G31" s="118"/>
      <c r="H31" s="118"/>
      <c r="I31" s="122"/>
      <c r="J31" s="123"/>
    </row>
    <row r="32" spans="2:10" ht="17" x14ac:dyDescent="0.2">
      <c r="B32" s="34" t="s">
        <v>3</v>
      </c>
      <c r="C32" s="16" t="s">
        <v>1</v>
      </c>
      <c r="D32" s="16" t="s">
        <v>4</v>
      </c>
      <c r="E32" s="16" t="s">
        <v>5</v>
      </c>
      <c r="F32" s="17" t="s">
        <v>51</v>
      </c>
      <c r="G32" s="17" t="s">
        <v>46</v>
      </c>
      <c r="H32" s="17" t="s">
        <v>47</v>
      </c>
      <c r="I32" s="122"/>
      <c r="J32" s="123"/>
    </row>
    <row r="33" spans="2:10" x14ac:dyDescent="0.2">
      <c r="B33" s="34">
        <v>2022</v>
      </c>
      <c r="C33" s="3">
        <f>'Cash Flow Summary (Bottom-Up)'!H4</f>
        <v>0</v>
      </c>
      <c r="D33" s="3">
        <v>0</v>
      </c>
      <c r="E33" s="3">
        <v>0</v>
      </c>
      <c r="F33" s="33" t="s">
        <v>48</v>
      </c>
      <c r="G33" s="33" t="s">
        <v>48</v>
      </c>
      <c r="H33" s="33" t="s">
        <v>48</v>
      </c>
      <c r="I33" s="124"/>
      <c r="J33" s="125"/>
    </row>
    <row r="34" spans="2:10" x14ac:dyDescent="0.2">
      <c r="B34" s="34">
        <f>B33+1</f>
        <v>2023</v>
      </c>
      <c r="C34" s="3">
        <f>'Cash Flow Summary (Bottom-Up)'!H5</f>
        <v>1125000</v>
      </c>
      <c r="D34" s="3">
        <v>300000</v>
      </c>
      <c r="E34" s="3">
        <f>-D34+C34</f>
        <v>825000</v>
      </c>
      <c r="F34" s="37">
        <f>C34/'Market Sizing (Top Down)'!$H$12</f>
        <v>0.47745358090185658</v>
      </c>
      <c r="G34" s="37">
        <f>C34/'Market Sizing (Top Down)'!$H$13</f>
        <v>0.95490716180371316</v>
      </c>
      <c r="H34" s="37">
        <f>C34/'Market Sizing (Top Down)'!$H$14</f>
        <v>0.23872679045092829</v>
      </c>
      <c r="I34" s="7" t="s">
        <v>10</v>
      </c>
      <c r="J34" s="39" t="s">
        <v>52</v>
      </c>
    </row>
    <row r="35" spans="2:10" x14ac:dyDescent="0.2">
      <c r="B35" s="34">
        <f t="shared" ref="B35:B39" si="0">B34+1</f>
        <v>2024</v>
      </c>
      <c r="C35" s="3">
        <f>'Cash Flow Summary (Bottom-Up)'!H6</f>
        <v>3375000</v>
      </c>
      <c r="D35" s="3">
        <v>1200000</v>
      </c>
      <c r="E35" s="3">
        <f>E34+C35-D35</f>
        <v>3000000</v>
      </c>
      <c r="F35" s="38">
        <f>C35/'Market Sizing (Top Down)'!$H$12</f>
        <v>1.4323607427055698</v>
      </c>
      <c r="G35" s="38">
        <f>C35/'Market Sizing (Top Down)'!$H$13</f>
        <v>2.8647214854111396</v>
      </c>
      <c r="H35" s="38">
        <f>C35/'Market Sizing (Top Down)'!$H$14</f>
        <v>0.71618037135278489</v>
      </c>
      <c r="I35" s="7" t="s">
        <v>11</v>
      </c>
      <c r="J35" s="7" t="s">
        <v>53</v>
      </c>
    </row>
    <row r="36" spans="2:10" x14ac:dyDescent="0.2">
      <c r="B36" s="34">
        <f t="shared" si="0"/>
        <v>2025</v>
      </c>
      <c r="C36" s="3">
        <f>'Cash Flow Summary (Bottom-Up)'!H7</f>
        <v>10125000</v>
      </c>
      <c r="D36" s="3">
        <v>2500000</v>
      </c>
      <c r="E36" s="3">
        <f t="shared" ref="E36:E39" si="1">E35+C36-D36</f>
        <v>10625000</v>
      </c>
      <c r="F36" s="38">
        <f>C36/'Market Sizing (Top Down)'!$H$12</f>
        <v>4.2970822281167091</v>
      </c>
      <c r="G36" s="38">
        <f>C36/'Market Sizing (Top Down)'!$H$13</f>
        <v>8.5941644562334183</v>
      </c>
      <c r="H36" s="38">
        <f>C36/'Market Sizing (Top Down)'!$H$14</f>
        <v>2.1485411140583546</v>
      </c>
      <c r="I36" s="7" t="s">
        <v>12</v>
      </c>
      <c r="J36" s="7" t="s">
        <v>54</v>
      </c>
    </row>
    <row r="37" spans="2:10" x14ac:dyDescent="0.2">
      <c r="B37" s="34">
        <f t="shared" si="0"/>
        <v>2026</v>
      </c>
      <c r="C37" s="3">
        <f>'Cash Flow Summary (Bottom-Up)'!H8</f>
        <v>26250000</v>
      </c>
      <c r="D37" s="3">
        <v>12000000</v>
      </c>
      <c r="E37" s="3">
        <f t="shared" si="1"/>
        <v>24875000</v>
      </c>
      <c r="F37" s="38">
        <f>C37/'Market Sizing (Top Down)'!$H$12</f>
        <v>11.140583554376654</v>
      </c>
      <c r="G37" s="38">
        <f>C37/'Market Sizing (Top Down)'!$H$13</f>
        <v>22.281167108753309</v>
      </c>
      <c r="H37" s="38">
        <f>C37/'Market Sizing (Top Down)'!$H$14</f>
        <v>5.5702917771883271</v>
      </c>
      <c r="I37" s="7" t="s">
        <v>13</v>
      </c>
      <c r="J37" s="7" t="s">
        <v>55</v>
      </c>
    </row>
    <row r="38" spans="2:10" x14ac:dyDescent="0.2">
      <c r="B38" s="34">
        <f t="shared" si="0"/>
        <v>2027</v>
      </c>
      <c r="C38" s="3">
        <f>'Cash Flow Summary (Bottom-Up)'!H9</f>
        <v>48750000</v>
      </c>
      <c r="D38" s="3">
        <v>18000000</v>
      </c>
      <c r="E38" s="3">
        <f t="shared" si="1"/>
        <v>55625000</v>
      </c>
      <c r="F38" s="38">
        <f>C38/'Market Sizing (Top Down)'!$H$12</f>
        <v>20.689655172413786</v>
      </c>
      <c r="G38" s="38">
        <f>C38/'Market Sizing (Top Down)'!$H$13</f>
        <v>41.379310344827573</v>
      </c>
      <c r="H38" s="38">
        <f>C38/'Market Sizing (Top Down)'!$H$14</f>
        <v>10.344827586206893</v>
      </c>
      <c r="I38" s="7" t="s">
        <v>14</v>
      </c>
      <c r="J38" s="7" t="s">
        <v>56</v>
      </c>
    </row>
    <row r="39" spans="2:10" x14ac:dyDescent="0.2">
      <c r="B39" s="34">
        <f t="shared" si="0"/>
        <v>2028</v>
      </c>
      <c r="C39" s="3">
        <f>'Cash Flow Summary (Bottom-Up)'!H10</f>
        <v>97500000</v>
      </c>
      <c r="D39" s="3">
        <v>22000000</v>
      </c>
      <c r="E39" s="3">
        <f t="shared" si="1"/>
        <v>131125000</v>
      </c>
      <c r="F39" s="38">
        <f>C39/'Market Sizing (Top Down)'!$H$12</f>
        <v>41.379310344827573</v>
      </c>
      <c r="G39" s="38">
        <f>C39/'Market Sizing (Top Down)'!$H$13</f>
        <v>82.758620689655146</v>
      </c>
      <c r="H39" s="38">
        <f>C39/'Market Sizing (Top Down)'!$H$14</f>
        <v>20.689655172413786</v>
      </c>
      <c r="I39" s="7" t="s">
        <v>15</v>
      </c>
      <c r="J39" s="7" t="s">
        <v>57</v>
      </c>
    </row>
  </sheetData>
  <sheetProtection selectLockedCells="1" selectUnlockedCells="1"/>
  <mergeCells count="5">
    <mergeCell ref="F30:H30"/>
    <mergeCell ref="C30:E30"/>
    <mergeCell ref="F31:H31"/>
    <mergeCell ref="C31:E31"/>
    <mergeCell ref="I30:J33"/>
  </mergeCells>
  <conditionalFormatting sqref="F34:H39 J34">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CE563-EC47-CC48-AE94-86CF29720CD1}">
  <dimension ref="B2:Q15"/>
  <sheetViews>
    <sheetView showGridLines="0" topLeftCell="F1" zoomScale="110" zoomScaleNormal="110" workbookViewId="0">
      <selection activeCell="I26" sqref="I26"/>
    </sheetView>
  </sheetViews>
  <sheetFormatPr baseColWidth="10" defaultRowHeight="16" x14ac:dyDescent="0.2"/>
  <cols>
    <col min="2" max="2" width="5" bestFit="1" customWidth="1"/>
    <col min="3" max="4" width="14.42578125" bestFit="1" customWidth="1"/>
    <col min="5" max="5" width="22" bestFit="1" customWidth="1"/>
    <col min="6" max="6" width="12.5703125" bestFit="1" customWidth="1"/>
    <col min="7" max="7" width="5" bestFit="1" customWidth="1"/>
    <col min="8" max="8" width="14.42578125" bestFit="1" customWidth="1"/>
    <col min="9" max="9" width="16.5703125" bestFit="1" customWidth="1"/>
    <col min="10" max="10" width="22" bestFit="1" customWidth="1"/>
    <col min="11" max="11" width="5.5703125" bestFit="1" customWidth="1"/>
    <col min="12" max="12" width="14.42578125" bestFit="1" customWidth="1"/>
    <col min="13" max="13" width="5.5703125" bestFit="1" customWidth="1"/>
    <col min="14" max="14" width="14.42578125" bestFit="1" customWidth="1"/>
    <col min="16" max="16" width="10.5703125" bestFit="1" customWidth="1"/>
    <col min="17" max="17" width="5.5703125" bestFit="1" customWidth="1"/>
  </cols>
  <sheetData>
    <row r="2" spans="2:17" x14ac:dyDescent="0.2">
      <c r="I2" s="126" t="s">
        <v>7</v>
      </c>
      <c r="J2" s="126"/>
      <c r="K2" s="126" t="s">
        <v>8</v>
      </c>
      <c r="L2" s="126"/>
      <c r="M2" s="126" t="s">
        <v>9</v>
      </c>
      <c r="N2" s="126"/>
    </row>
    <row r="3" spans="2:17" x14ac:dyDescent="0.2">
      <c r="B3" s="2" t="s">
        <v>3</v>
      </c>
      <c r="C3" s="7" t="s">
        <v>1</v>
      </c>
      <c r="D3" s="2" t="s">
        <v>4</v>
      </c>
      <c r="E3" s="2" t="s">
        <v>5</v>
      </c>
      <c r="G3" s="2" t="s">
        <v>3</v>
      </c>
      <c r="H3" s="7" t="s">
        <v>1</v>
      </c>
      <c r="I3" s="7" t="s">
        <v>6</v>
      </c>
      <c r="J3" s="7" t="s">
        <v>2</v>
      </c>
      <c r="K3" s="7" t="s">
        <v>6</v>
      </c>
      <c r="L3" s="7" t="s">
        <v>2</v>
      </c>
      <c r="M3" s="7" t="s">
        <v>6</v>
      </c>
      <c r="N3" s="7" t="s">
        <v>2</v>
      </c>
      <c r="P3" s="10" t="s">
        <v>19</v>
      </c>
      <c r="Q3" s="9"/>
    </row>
    <row r="4" spans="2:17" x14ac:dyDescent="0.2">
      <c r="B4" s="2">
        <v>2022</v>
      </c>
      <c r="C4" s="3">
        <f>H4</f>
        <v>0</v>
      </c>
      <c r="D4" s="3">
        <v>0</v>
      </c>
      <c r="E4" s="3">
        <v>0</v>
      </c>
      <c r="G4" s="2">
        <v>2022</v>
      </c>
      <c r="H4" s="3">
        <f>J4+L4+N4</f>
        <v>0</v>
      </c>
      <c r="I4" s="6">
        <v>1</v>
      </c>
      <c r="J4" s="12">
        <f t="shared" ref="J4:J10" si="0">I4*$J$13</f>
        <v>0</v>
      </c>
      <c r="K4" s="6">
        <v>0</v>
      </c>
      <c r="L4" s="12">
        <f t="shared" ref="L4:L10" si="1">K4*$J$14</f>
        <v>0</v>
      </c>
      <c r="M4" s="6">
        <v>0</v>
      </c>
      <c r="N4" s="12">
        <f t="shared" ref="N4:N10" si="2">M4*$J$15</f>
        <v>0</v>
      </c>
      <c r="P4" s="4"/>
    </row>
    <row r="5" spans="2:17" x14ac:dyDescent="0.2">
      <c r="B5" s="2">
        <f>B4+1</f>
        <v>2023</v>
      </c>
      <c r="C5" s="3">
        <f t="shared" ref="C5:C10" si="3">H5</f>
        <v>1125000</v>
      </c>
      <c r="D5" s="3">
        <v>300000</v>
      </c>
      <c r="E5" s="3">
        <f>-D5+C5</f>
        <v>825000</v>
      </c>
      <c r="G5" s="2">
        <f>G4+1</f>
        <v>2023</v>
      </c>
      <c r="H5" s="3">
        <f t="shared" ref="H5:H10" si="4">J5+L5+N5</f>
        <v>1125000</v>
      </c>
      <c r="I5" s="6">
        <v>10</v>
      </c>
      <c r="J5" s="12">
        <f t="shared" si="0"/>
        <v>0</v>
      </c>
      <c r="K5" s="6">
        <v>3</v>
      </c>
      <c r="L5" s="12">
        <f t="shared" si="1"/>
        <v>225000</v>
      </c>
      <c r="M5" s="6">
        <v>3</v>
      </c>
      <c r="N5" s="12">
        <f t="shared" si="2"/>
        <v>900000</v>
      </c>
      <c r="P5" s="8" t="s">
        <v>10</v>
      </c>
    </row>
    <row r="6" spans="2:17" x14ac:dyDescent="0.2">
      <c r="B6" s="2">
        <f t="shared" ref="B6:B10" si="5">B5+1</f>
        <v>2024</v>
      </c>
      <c r="C6" s="3">
        <f t="shared" si="3"/>
        <v>3375000</v>
      </c>
      <c r="D6" s="3">
        <v>1200000</v>
      </c>
      <c r="E6" s="3">
        <f>E5+C6-D6</f>
        <v>3000000</v>
      </c>
      <c r="F6" s="13"/>
      <c r="G6" s="2">
        <f t="shared" ref="G6:G10" si="6">G5+1</f>
        <v>2024</v>
      </c>
      <c r="H6" s="3">
        <f t="shared" si="4"/>
        <v>3375000</v>
      </c>
      <c r="I6" s="6">
        <v>20</v>
      </c>
      <c r="J6" s="12">
        <f t="shared" si="0"/>
        <v>0</v>
      </c>
      <c r="K6" s="6">
        <v>9</v>
      </c>
      <c r="L6" s="12">
        <f t="shared" si="1"/>
        <v>675000</v>
      </c>
      <c r="M6" s="6">
        <v>9</v>
      </c>
      <c r="N6" s="12">
        <f t="shared" si="2"/>
        <v>2700000</v>
      </c>
      <c r="P6" s="8" t="s">
        <v>11</v>
      </c>
    </row>
    <row r="7" spans="2:17" x14ac:dyDescent="0.2">
      <c r="B7" s="2">
        <f t="shared" si="5"/>
        <v>2025</v>
      </c>
      <c r="C7" s="3">
        <f t="shared" si="3"/>
        <v>10125000</v>
      </c>
      <c r="D7" s="3">
        <v>2500000</v>
      </c>
      <c r="E7" s="3">
        <f t="shared" ref="E7:E10" si="7">E6+C7-D7</f>
        <v>10625000</v>
      </c>
      <c r="G7" s="2">
        <f t="shared" si="6"/>
        <v>2025</v>
      </c>
      <c r="H7" s="3">
        <f t="shared" si="4"/>
        <v>10125000</v>
      </c>
      <c r="I7" s="6">
        <v>40</v>
      </c>
      <c r="J7" s="12">
        <f t="shared" si="0"/>
        <v>0</v>
      </c>
      <c r="K7" s="6">
        <v>27</v>
      </c>
      <c r="L7" s="12">
        <f t="shared" si="1"/>
        <v>2025000</v>
      </c>
      <c r="M7" s="6">
        <v>27</v>
      </c>
      <c r="N7" s="12">
        <f t="shared" si="2"/>
        <v>8100000</v>
      </c>
      <c r="P7" s="8" t="s">
        <v>12</v>
      </c>
    </row>
    <row r="8" spans="2:17" x14ac:dyDescent="0.2">
      <c r="B8" s="2">
        <f t="shared" si="5"/>
        <v>2026</v>
      </c>
      <c r="C8" s="3">
        <f t="shared" si="3"/>
        <v>26250000</v>
      </c>
      <c r="D8" s="3">
        <v>12000000</v>
      </c>
      <c r="E8" s="3">
        <f t="shared" si="7"/>
        <v>24875000</v>
      </c>
      <c r="G8" s="2">
        <f t="shared" si="6"/>
        <v>2026</v>
      </c>
      <c r="H8" s="3">
        <f t="shared" si="4"/>
        <v>26250000</v>
      </c>
      <c r="I8" s="6">
        <v>80</v>
      </c>
      <c r="J8" s="12">
        <f t="shared" si="0"/>
        <v>0</v>
      </c>
      <c r="K8" s="6">
        <v>70</v>
      </c>
      <c r="L8" s="12">
        <f t="shared" si="1"/>
        <v>5250000</v>
      </c>
      <c r="M8" s="6">
        <v>70</v>
      </c>
      <c r="N8" s="12">
        <f t="shared" si="2"/>
        <v>21000000</v>
      </c>
      <c r="P8" s="8" t="s">
        <v>13</v>
      </c>
      <c r="Q8" s="1"/>
    </row>
    <row r="9" spans="2:17" x14ac:dyDescent="0.2">
      <c r="B9" s="2">
        <f t="shared" si="5"/>
        <v>2027</v>
      </c>
      <c r="C9" s="3">
        <f t="shared" si="3"/>
        <v>48750000</v>
      </c>
      <c r="D9" s="3">
        <v>18000000</v>
      </c>
      <c r="E9" s="3">
        <f t="shared" si="7"/>
        <v>55625000</v>
      </c>
      <c r="G9" s="2">
        <f t="shared" si="6"/>
        <v>2027</v>
      </c>
      <c r="H9" s="3">
        <f t="shared" si="4"/>
        <v>48750000</v>
      </c>
      <c r="I9" s="6">
        <v>160</v>
      </c>
      <c r="J9" s="12">
        <f t="shared" si="0"/>
        <v>0</v>
      </c>
      <c r="K9" s="6">
        <v>130</v>
      </c>
      <c r="L9" s="12">
        <f t="shared" si="1"/>
        <v>9750000</v>
      </c>
      <c r="M9" s="6">
        <v>130</v>
      </c>
      <c r="N9" s="12">
        <f t="shared" si="2"/>
        <v>39000000</v>
      </c>
      <c r="P9" s="8" t="s">
        <v>14</v>
      </c>
    </row>
    <row r="10" spans="2:17" x14ac:dyDescent="0.2">
      <c r="B10" s="2">
        <f t="shared" si="5"/>
        <v>2028</v>
      </c>
      <c r="C10" s="3">
        <f t="shared" si="3"/>
        <v>97500000</v>
      </c>
      <c r="D10" s="3">
        <v>22000000</v>
      </c>
      <c r="E10" s="3">
        <f t="shared" si="7"/>
        <v>131125000</v>
      </c>
      <c r="G10" s="2">
        <f t="shared" si="6"/>
        <v>2028</v>
      </c>
      <c r="H10" s="3">
        <f t="shared" si="4"/>
        <v>97500000</v>
      </c>
      <c r="I10" s="6">
        <v>320</v>
      </c>
      <c r="J10" s="12">
        <f t="shared" si="0"/>
        <v>0</v>
      </c>
      <c r="K10" s="6">
        <v>260</v>
      </c>
      <c r="L10" s="12">
        <f t="shared" si="1"/>
        <v>19500000</v>
      </c>
      <c r="M10" s="6">
        <v>260</v>
      </c>
      <c r="N10" s="12">
        <f t="shared" si="2"/>
        <v>78000000</v>
      </c>
      <c r="P10" s="8" t="s">
        <v>15</v>
      </c>
    </row>
    <row r="12" spans="2:17" x14ac:dyDescent="0.2">
      <c r="H12" s="5" t="s">
        <v>20</v>
      </c>
      <c r="I12" s="5" t="s">
        <v>0</v>
      </c>
      <c r="J12" s="5" t="s">
        <v>21</v>
      </c>
    </row>
    <row r="13" spans="2:17" x14ac:dyDescent="0.2">
      <c r="H13" s="7" t="s">
        <v>7</v>
      </c>
      <c r="I13" s="5" t="s">
        <v>18</v>
      </c>
      <c r="J13" s="11">
        <v>0</v>
      </c>
    </row>
    <row r="14" spans="2:17" x14ac:dyDescent="0.2">
      <c r="H14" s="5" t="s">
        <v>8</v>
      </c>
      <c r="I14" s="5" t="s">
        <v>17</v>
      </c>
      <c r="J14" s="11">
        <v>75000</v>
      </c>
    </row>
    <row r="15" spans="2:17" x14ac:dyDescent="0.2">
      <c r="H15" s="5" t="s">
        <v>9</v>
      </c>
      <c r="I15" s="5" t="s">
        <v>16</v>
      </c>
      <c r="J15" s="11">
        <v>300000</v>
      </c>
    </row>
  </sheetData>
  <mergeCells count="3">
    <mergeCell ref="I2:J2"/>
    <mergeCell ref="K2:L2"/>
    <mergeCell ref="M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6AF26-C18A-5841-A0E7-C454D140CCE7}">
  <dimension ref="A2:I14"/>
  <sheetViews>
    <sheetView showGridLines="0" workbookViewId="0">
      <selection activeCell="D25" sqref="D25"/>
    </sheetView>
  </sheetViews>
  <sheetFormatPr baseColWidth="10" defaultRowHeight="16" x14ac:dyDescent="0.2"/>
  <cols>
    <col min="1" max="1" width="5.140625" customWidth="1"/>
    <col min="2" max="2" width="2.28515625" bestFit="1" customWidth="1"/>
    <col min="3" max="3" width="50.5703125" bestFit="1" customWidth="1"/>
    <col min="4" max="4" width="12" bestFit="1" customWidth="1"/>
    <col min="5" max="5" width="13.42578125" bestFit="1" customWidth="1"/>
    <col min="6" max="6" width="15.42578125" bestFit="1" customWidth="1"/>
    <col min="7" max="8" width="14.42578125" bestFit="1" customWidth="1"/>
  </cols>
  <sheetData>
    <row r="2" spans="1:9" x14ac:dyDescent="0.2">
      <c r="C2" s="18" t="s">
        <v>23</v>
      </c>
    </row>
    <row r="4" spans="1:9" ht="68" x14ac:dyDescent="0.2">
      <c r="C4" s="16"/>
      <c r="D4" s="17" t="s">
        <v>22</v>
      </c>
      <c r="E4" s="19" t="s">
        <v>28</v>
      </c>
      <c r="F4" s="17" t="s">
        <v>24</v>
      </c>
      <c r="G4" s="17" t="s">
        <v>25</v>
      </c>
    </row>
    <row r="5" spans="1:9" ht="17" x14ac:dyDescent="0.2">
      <c r="A5" s="14"/>
      <c r="B5" s="31" t="s">
        <v>31</v>
      </c>
      <c r="C5" s="35" t="s">
        <v>58</v>
      </c>
      <c r="D5" s="20">
        <v>25</v>
      </c>
      <c r="E5" s="21" t="s">
        <v>27</v>
      </c>
      <c r="F5" s="20">
        <v>75</v>
      </c>
      <c r="G5" s="20">
        <v>40</v>
      </c>
    </row>
    <row r="6" spans="1:9" x14ac:dyDescent="0.2">
      <c r="A6" s="14"/>
      <c r="B6" s="31" t="s">
        <v>32</v>
      </c>
      <c r="C6" s="35" t="s">
        <v>26</v>
      </c>
      <c r="D6" s="3">
        <f>5*10^5</f>
        <v>500000</v>
      </c>
      <c r="E6" s="22">
        <f>5*10^6</f>
        <v>5000000</v>
      </c>
      <c r="F6" s="3">
        <f>500*10^6</f>
        <v>500000000</v>
      </c>
      <c r="G6" s="3">
        <f>50*10^6</f>
        <v>50000000</v>
      </c>
    </row>
    <row r="7" spans="1:9" x14ac:dyDescent="0.2">
      <c r="A7" s="14"/>
      <c r="B7" s="31" t="s">
        <v>33</v>
      </c>
      <c r="C7" s="35" t="s">
        <v>30</v>
      </c>
      <c r="D7" s="23">
        <v>0.5</v>
      </c>
      <c r="E7" s="24"/>
      <c r="F7" s="23">
        <v>0.98</v>
      </c>
      <c r="G7" s="23">
        <v>0.2</v>
      </c>
    </row>
    <row r="8" spans="1:9" x14ac:dyDescent="0.2">
      <c r="A8" s="14"/>
      <c r="B8" s="10" t="s">
        <v>34</v>
      </c>
      <c r="C8" s="35" t="s">
        <v>29</v>
      </c>
      <c r="D8" s="25">
        <f t="shared" ref="D8" si="0">D6*(1-D7)</f>
        <v>250000</v>
      </c>
      <c r="E8" s="26"/>
      <c r="F8" s="25">
        <f>F6*(1-F7)</f>
        <v>10000000.000000009</v>
      </c>
      <c r="G8" s="25">
        <f>G6*(1-G7)</f>
        <v>40000000</v>
      </c>
    </row>
    <row r="9" spans="1:9" x14ac:dyDescent="0.2">
      <c r="A9" s="14"/>
      <c r="B9" s="10" t="s">
        <v>35</v>
      </c>
      <c r="C9" s="36" t="s">
        <v>59</v>
      </c>
      <c r="D9" s="27">
        <f>D8*0.01</f>
        <v>2500</v>
      </c>
      <c r="E9" s="28"/>
      <c r="F9" s="27">
        <f t="shared" ref="F9:G9" si="1">F8*0.01</f>
        <v>100000.0000000001</v>
      </c>
      <c r="G9" s="27">
        <f t="shared" si="1"/>
        <v>400000</v>
      </c>
    </row>
    <row r="10" spans="1:9" x14ac:dyDescent="0.2">
      <c r="A10" s="14"/>
      <c r="B10" s="14"/>
      <c r="C10" s="6"/>
      <c r="D10" s="15"/>
      <c r="E10" s="29"/>
      <c r="F10" s="15"/>
      <c r="G10" s="15"/>
    </row>
    <row r="11" spans="1:9" x14ac:dyDescent="0.2">
      <c r="A11" s="14"/>
      <c r="B11" s="10" t="s">
        <v>37</v>
      </c>
      <c r="C11" s="16" t="s">
        <v>36</v>
      </c>
      <c r="D11" s="27">
        <f>D5*D9</f>
        <v>62500</v>
      </c>
      <c r="E11" s="28"/>
      <c r="F11" s="27">
        <f t="shared" ref="F11" si="2">F5*F9</f>
        <v>7500000.0000000075</v>
      </c>
      <c r="G11" s="27">
        <f>G5*G9</f>
        <v>16000000</v>
      </c>
      <c r="H11" s="30">
        <f t="shared" ref="H11" si="3">SUM(D11:G11)</f>
        <v>23562500.000000007</v>
      </c>
      <c r="I11" s="32" t="s">
        <v>44</v>
      </c>
    </row>
    <row r="12" spans="1:9" x14ac:dyDescent="0.2">
      <c r="A12" s="14"/>
      <c r="B12" s="10" t="s">
        <v>41</v>
      </c>
      <c r="C12" s="16" t="s">
        <v>38</v>
      </c>
      <c r="D12" s="27">
        <f>D11*0.1</f>
        <v>6250</v>
      </c>
      <c r="E12" s="29"/>
      <c r="F12" s="27">
        <f t="shared" ref="F12:G12" si="4">F11*0.1</f>
        <v>750000.00000000081</v>
      </c>
      <c r="G12" s="27">
        <f t="shared" si="4"/>
        <v>1600000</v>
      </c>
      <c r="H12" s="30">
        <f>SUM(D12:G12)</f>
        <v>2356250.0000000009</v>
      </c>
      <c r="I12" s="32" t="s">
        <v>45</v>
      </c>
    </row>
    <row r="13" spans="1:9" x14ac:dyDescent="0.2">
      <c r="A13" s="14"/>
      <c r="B13" s="10" t="s">
        <v>42</v>
      </c>
      <c r="C13" s="16" t="s">
        <v>40</v>
      </c>
      <c r="D13" s="27">
        <f>D11*0.05</f>
        <v>3125</v>
      </c>
      <c r="E13" s="29"/>
      <c r="F13" s="27">
        <f t="shared" ref="F13:G13" si="5">F11*0.05</f>
        <v>375000.00000000041</v>
      </c>
      <c r="G13" s="27">
        <f t="shared" si="5"/>
        <v>800000</v>
      </c>
      <c r="H13" s="30">
        <f t="shared" ref="H13:H14" si="6">SUM(D13:G13)</f>
        <v>1178125.0000000005</v>
      </c>
      <c r="I13" s="32" t="s">
        <v>46</v>
      </c>
    </row>
    <row r="14" spans="1:9" x14ac:dyDescent="0.2">
      <c r="A14" s="14"/>
      <c r="B14" s="10" t="s">
        <v>43</v>
      </c>
      <c r="C14" s="16" t="s">
        <v>39</v>
      </c>
      <c r="D14" s="27">
        <f>D11*0.2</f>
        <v>12500</v>
      </c>
      <c r="E14" s="29"/>
      <c r="F14" s="27">
        <f t="shared" ref="F14:G14" si="7">F11*0.2</f>
        <v>1500000.0000000016</v>
      </c>
      <c r="G14" s="27">
        <f t="shared" si="7"/>
        <v>3200000</v>
      </c>
      <c r="H14" s="30">
        <f t="shared" si="6"/>
        <v>4712500.0000000019</v>
      </c>
      <c r="I14" s="32" t="s">
        <v>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A0FD6-5277-BD40-B481-FE449E16185D}">
  <dimension ref="B2:E11"/>
  <sheetViews>
    <sheetView showGridLines="0" workbookViewId="0">
      <selection activeCell="G19" sqref="G19"/>
    </sheetView>
  </sheetViews>
  <sheetFormatPr baseColWidth="10" defaultRowHeight="16" x14ac:dyDescent="0.2"/>
  <cols>
    <col min="2" max="2" width="16.5703125" bestFit="1" customWidth="1"/>
    <col min="3" max="3" width="19.28515625" customWidth="1"/>
    <col min="4" max="4" width="8" bestFit="1" customWidth="1"/>
    <col min="5" max="5" width="5.85546875" bestFit="1" customWidth="1"/>
  </cols>
  <sheetData>
    <row r="2" spans="2:5" x14ac:dyDescent="0.2">
      <c r="B2" s="18" t="s">
        <v>105</v>
      </c>
    </row>
    <row r="4" spans="2:5" x14ac:dyDescent="0.2">
      <c r="C4" s="127" t="s">
        <v>109</v>
      </c>
      <c r="D4" s="127"/>
      <c r="E4" s="127"/>
    </row>
    <row r="5" spans="2:5" ht="34" x14ac:dyDescent="0.2">
      <c r="B5" s="15"/>
      <c r="C5" s="17" t="s">
        <v>108</v>
      </c>
      <c r="D5" s="17" t="s">
        <v>99</v>
      </c>
      <c r="E5" s="17" t="s">
        <v>100</v>
      </c>
    </row>
    <row r="6" spans="2:5" x14ac:dyDescent="0.2">
      <c r="B6" s="15" t="s">
        <v>101</v>
      </c>
      <c r="C6" s="15"/>
      <c r="D6" s="15"/>
      <c r="E6" s="15"/>
    </row>
    <row r="7" spans="2:5" x14ac:dyDescent="0.2">
      <c r="B7" s="15" t="s">
        <v>102</v>
      </c>
      <c r="C7" s="15"/>
      <c r="D7" s="15"/>
      <c r="E7" s="15"/>
    </row>
    <row r="8" spans="2:5" x14ac:dyDescent="0.2">
      <c r="B8" s="15" t="s">
        <v>103</v>
      </c>
      <c r="C8" s="15"/>
      <c r="D8" s="15"/>
      <c r="E8" s="15"/>
    </row>
    <row r="9" spans="2:5" x14ac:dyDescent="0.2">
      <c r="B9" s="15" t="s">
        <v>104</v>
      </c>
      <c r="C9" s="15"/>
      <c r="D9" s="15"/>
      <c r="E9" s="15"/>
    </row>
    <row r="10" spans="2:5" x14ac:dyDescent="0.2">
      <c r="B10" s="117" t="s">
        <v>106</v>
      </c>
      <c r="C10" s="15"/>
      <c r="D10" s="15"/>
      <c r="E10" s="15"/>
    </row>
    <row r="11" spans="2:5" x14ac:dyDescent="0.2">
      <c r="B11" s="117" t="s">
        <v>107</v>
      </c>
      <c r="C11" s="15"/>
      <c r="D11" s="15"/>
      <c r="E11" s="15"/>
    </row>
  </sheetData>
  <mergeCells count="1">
    <mergeCell ref="C4:E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D01F4-67FA-2D40-BE79-8A36158F7D9B}">
  <sheetPr>
    <pageSetUpPr fitToPage="1"/>
  </sheetPr>
  <dimension ref="A1:BL36"/>
  <sheetViews>
    <sheetView showGridLines="0" showRuler="0" topLeftCell="B1" zoomScaleNormal="100" zoomScalePageLayoutView="70" workbookViewId="0">
      <pane ySplit="6" topLeftCell="A8" activePane="bottomLeft" state="frozen"/>
      <selection pane="bottomLeft" activeCell="N8" sqref="N8"/>
    </sheetView>
  </sheetViews>
  <sheetFormatPr baseColWidth="10" defaultColWidth="7.5703125" defaultRowHeight="30" customHeight="1" x14ac:dyDescent="0.2"/>
  <cols>
    <col min="1" max="1" width="2.28515625" style="48" customWidth="1"/>
    <col min="2" max="2" width="17" style="46" customWidth="1"/>
    <col min="3" max="3" width="26.28515625" style="46" customWidth="1"/>
    <col min="4" max="4" width="9.140625" style="46" customWidth="1"/>
    <col min="5" max="5" width="9" style="50" customWidth="1"/>
    <col min="6" max="6" width="9" style="46" customWidth="1"/>
    <col min="7" max="7" width="2.28515625" style="46" customWidth="1"/>
    <col min="8" max="8" width="5.28515625" style="46" hidden="1" customWidth="1"/>
    <col min="9" max="64" width="2.140625" style="46" customWidth="1"/>
    <col min="65" max="16384" width="7.5703125" style="46"/>
  </cols>
  <sheetData>
    <row r="1" spans="1:64" ht="30" customHeight="1" x14ac:dyDescent="0.35">
      <c r="A1" s="40" t="s">
        <v>62</v>
      </c>
      <c r="B1" s="41" t="s">
        <v>97</v>
      </c>
      <c r="C1" s="42"/>
      <c r="D1" s="43"/>
      <c r="E1" s="44"/>
      <c r="F1" s="45"/>
      <c r="H1" s="43"/>
      <c r="I1" s="47"/>
    </row>
    <row r="2" spans="1:64" ht="30" customHeight="1" x14ac:dyDescent="0.25">
      <c r="A2" s="48" t="s">
        <v>63</v>
      </c>
      <c r="B2" s="49" t="s">
        <v>95</v>
      </c>
      <c r="I2" s="51"/>
    </row>
    <row r="3" spans="1:64" ht="30" customHeight="1" x14ac:dyDescent="0.2">
      <c r="A3" s="48" t="s">
        <v>64</v>
      </c>
      <c r="B3" s="52" t="s">
        <v>96</v>
      </c>
      <c r="C3" s="131" t="s">
        <v>65</v>
      </c>
      <c r="D3" s="132"/>
      <c r="E3" s="133">
        <v>44581</v>
      </c>
      <c r="F3" s="133"/>
    </row>
    <row r="4" spans="1:64" ht="30" customHeight="1" x14ac:dyDescent="0.2">
      <c r="A4" s="40" t="s">
        <v>66</v>
      </c>
      <c r="C4" s="131" t="s">
        <v>67</v>
      </c>
      <c r="D4" s="132"/>
      <c r="E4" s="53">
        <v>1</v>
      </c>
      <c r="I4" s="128">
        <f>I5</f>
        <v>44578</v>
      </c>
      <c r="J4" s="129"/>
      <c r="K4" s="129"/>
      <c r="L4" s="129"/>
      <c r="M4" s="129"/>
      <c r="N4" s="129"/>
      <c r="O4" s="130"/>
      <c r="P4" s="128">
        <f>P5</f>
        <v>44585</v>
      </c>
      <c r="Q4" s="129"/>
      <c r="R4" s="129"/>
      <c r="S4" s="129"/>
      <c r="T4" s="129"/>
      <c r="U4" s="129"/>
      <c r="V4" s="130"/>
      <c r="W4" s="128">
        <f>W5</f>
        <v>44592</v>
      </c>
      <c r="X4" s="129"/>
      <c r="Y4" s="129"/>
      <c r="Z4" s="129"/>
      <c r="AA4" s="129"/>
      <c r="AB4" s="129"/>
      <c r="AC4" s="130"/>
      <c r="AD4" s="128">
        <f>AD5</f>
        <v>44599</v>
      </c>
      <c r="AE4" s="129"/>
      <c r="AF4" s="129"/>
      <c r="AG4" s="129"/>
      <c r="AH4" s="129"/>
      <c r="AI4" s="129"/>
      <c r="AJ4" s="130"/>
      <c r="AK4" s="128">
        <f>AK5</f>
        <v>44606</v>
      </c>
      <c r="AL4" s="129"/>
      <c r="AM4" s="129"/>
      <c r="AN4" s="129"/>
      <c r="AO4" s="129"/>
      <c r="AP4" s="129"/>
      <c r="AQ4" s="130"/>
      <c r="AR4" s="128">
        <f>AR5</f>
        <v>44613</v>
      </c>
      <c r="AS4" s="129"/>
      <c r="AT4" s="129"/>
      <c r="AU4" s="129"/>
      <c r="AV4" s="129"/>
      <c r="AW4" s="129"/>
      <c r="AX4" s="130"/>
      <c r="AY4" s="128">
        <f>AY5</f>
        <v>44620</v>
      </c>
      <c r="AZ4" s="129"/>
      <c r="BA4" s="129"/>
      <c r="BB4" s="129"/>
      <c r="BC4" s="129"/>
      <c r="BD4" s="129"/>
      <c r="BE4" s="130"/>
      <c r="BF4" s="128">
        <f>BF5</f>
        <v>44627</v>
      </c>
      <c r="BG4" s="129"/>
      <c r="BH4" s="129"/>
      <c r="BI4" s="129"/>
      <c r="BJ4" s="129"/>
      <c r="BK4" s="129"/>
      <c r="BL4" s="130"/>
    </row>
    <row r="5" spans="1:64" ht="15" customHeight="1" x14ac:dyDescent="0.2">
      <c r="A5" s="40" t="s">
        <v>68</v>
      </c>
      <c r="B5" s="54"/>
      <c r="C5" s="54"/>
      <c r="D5" s="54"/>
      <c r="E5" s="54"/>
      <c r="F5" s="54"/>
      <c r="G5" s="54"/>
      <c r="I5" s="55">
        <f>Project_Start-WEEKDAY(Project_Start,1)+2+7*(Display_Week-1)</f>
        <v>44578</v>
      </c>
      <c r="J5" s="56">
        <f>I5+1</f>
        <v>44579</v>
      </c>
      <c r="K5" s="56">
        <f t="shared" ref="K5:AX5" si="0">J5+1</f>
        <v>44580</v>
      </c>
      <c r="L5" s="56">
        <f t="shared" si="0"/>
        <v>44581</v>
      </c>
      <c r="M5" s="56">
        <f t="shared" si="0"/>
        <v>44582</v>
      </c>
      <c r="N5" s="56">
        <f t="shared" si="0"/>
        <v>44583</v>
      </c>
      <c r="O5" s="57">
        <f t="shared" si="0"/>
        <v>44584</v>
      </c>
      <c r="P5" s="55">
        <f>O5+1</f>
        <v>44585</v>
      </c>
      <c r="Q5" s="56">
        <f>P5+1</f>
        <v>44586</v>
      </c>
      <c r="R5" s="56">
        <f t="shared" si="0"/>
        <v>44587</v>
      </c>
      <c r="S5" s="56">
        <f t="shared" si="0"/>
        <v>44588</v>
      </c>
      <c r="T5" s="56">
        <f t="shared" si="0"/>
        <v>44589</v>
      </c>
      <c r="U5" s="56">
        <f t="shared" si="0"/>
        <v>44590</v>
      </c>
      <c r="V5" s="57">
        <f t="shared" si="0"/>
        <v>44591</v>
      </c>
      <c r="W5" s="55">
        <f>V5+1</f>
        <v>44592</v>
      </c>
      <c r="X5" s="56">
        <f>W5+1</f>
        <v>44593</v>
      </c>
      <c r="Y5" s="56">
        <f t="shared" si="0"/>
        <v>44594</v>
      </c>
      <c r="Z5" s="56">
        <f t="shared" si="0"/>
        <v>44595</v>
      </c>
      <c r="AA5" s="56">
        <f t="shared" si="0"/>
        <v>44596</v>
      </c>
      <c r="AB5" s="56">
        <f t="shared" si="0"/>
        <v>44597</v>
      </c>
      <c r="AC5" s="57">
        <f t="shared" si="0"/>
        <v>44598</v>
      </c>
      <c r="AD5" s="55">
        <f>AC5+1</f>
        <v>44599</v>
      </c>
      <c r="AE5" s="56">
        <f>AD5+1</f>
        <v>44600</v>
      </c>
      <c r="AF5" s="56">
        <f t="shared" si="0"/>
        <v>44601</v>
      </c>
      <c r="AG5" s="56">
        <f t="shared" si="0"/>
        <v>44602</v>
      </c>
      <c r="AH5" s="56">
        <f t="shared" si="0"/>
        <v>44603</v>
      </c>
      <c r="AI5" s="56">
        <f t="shared" si="0"/>
        <v>44604</v>
      </c>
      <c r="AJ5" s="57">
        <f t="shared" si="0"/>
        <v>44605</v>
      </c>
      <c r="AK5" s="55">
        <f>AJ5+1</f>
        <v>44606</v>
      </c>
      <c r="AL5" s="56">
        <f>AK5+1</f>
        <v>44607</v>
      </c>
      <c r="AM5" s="56">
        <f t="shared" si="0"/>
        <v>44608</v>
      </c>
      <c r="AN5" s="56">
        <f t="shared" si="0"/>
        <v>44609</v>
      </c>
      <c r="AO5" s="56">
        <f t="shared" si="0"/>
        <v>44610</v>
      </c>
      <c r="AP5" s="56">
        <f t="shared" si="0"/>
        <v>44611</v>
      </c>
      <c r="AQ5" s="57">
        <f t="shared" si="0"/>
        <v>44612</v>
      </c>
      <c r="AR5" s="55">
        <f>AQ5+1</f>
        <v>44613</v>
      </c>
      <c r="AS5" s="56">
        <f>AR5+1</f>
        <v>44614</v>
      </c>
      <c r="AT5" s="56">
        <f t="shared" si="0"/>
        <v>44615</v>
      </c>
      <c r="AU5" s="56">
        <f t="shared" si="0"/>
        <v>44616</v>
      </c>
      <c r="AV5" s="56">
        <f t="shared" si="0"/>
        <v>44617</v>
      </c>
      <c r="AW5" s="56">
        <f t="shared" si="0"/>
        <v>44618</v>
      </c>
      <c r="AX5" s="57">
        <f t="shared" si="0"/>
        <v>44619</v>
      </c>
      <c r="AY5" s="55">
        <f>AX5+1</f>
        <v>44620</v>
      </c>
      <c r="AZ5" s="56">
        <f>AY5+1</f>
        <v>44621</v>
      </c>
      <c r="BA5" s="56">
        <f t="shared" ref="BA5:BE5" si="1">AZ5+1</f>
        <v>44622</v>
      </c>
      <c r="BB5" s="56">
        <f t="shared" si="1"/>
        <v>44623</v>
      </c>
      <c r="BC5" s="56">
        <f t="shared" si="1"/>
        <v>44624</v>
      </c>
      <c r="BD5" s="56">
        <f t="shared" si="1"/>
        <v>44625</v>
      </c>
      <c r="BE5" s="57">
        <f t="shared" si="1"/>
        <v>44626</v>
      </c>
      <c r="BF5" s="55">
        <f>BE5+1</f>
        <v>44627</v>
      </c>
      <c r="BG5" s="56">
        <f>BF5+1</f>
        <v>44628</v>
      </c>
      <c r="BH5" s="56">
        <f t="shared" ref="BH5:BL5" si="2">BG5+1</f>
        <v>44629</v>
      </c>
      <c r="BI5" s="56">
        <f t="shared" si="2"/>
        <v>44630</v>
      </c>
      <c r="BJ5" s="56">
        <f t="shared" si="2"/>
        <v>44631</v>
      </c>
      <c r="BK5" s="56">
        <f t="shared" si="2"/>
        <v>44632</v>
      </c>
      <c r="BL5" s="57">
        <f t="shared" si="2"/>
        <v>44633</v>
      </c>
    </row>
    <row r="6" spans="1:64" ht="30" customHeight="1" thickBot="1" x14ac:dyDescent="0.25">
      <c r="A6" s="40" t="s">
        <v>69</v>
      </c>
      <c r="B6" s="58" t="s">
        <v>70</v>
      </c>
      <c r="C6" s="59" t="s">
        <v>71</v>
      </c>
      <c r="D6" s="59" t="s">
        <v>72</v>
      </c>
      <c r="E6" s="59" t="s">
        <v>73</v>
      </c>
      <c r="F6" s="59" t="s">
        <v>74</v>
      </c>
      <c r="G6" s="59"/>
      <c r="H6" s="59" t="s">
        <v>75</v>
      </c>
      <c r="I6" s="60" t="str">
        <f t="shared" ref="I6:BL6" si="3">LEFT(TEXT(I5,"ddd"),1)</f>
        <v>M</v>
      </c>
      <c r="J6" s="60" t="str">
        <f t="shared" si="3"/>
        <v>T</v>
      </c>
      <c r="K6" s="60" t="str">
        <f t="shared" si="3"/>
        <v>W</v>
      </c>
      <c r="L6" s="60" t="str">
        <f t="shared" si="3"/>
        <v>T</v>
      </c>
      <c r="M6" s="60" t="str">
        <f t="shared" si="3"/>
        <v>F</v>
      </c>
      <c r="N6" s="60" t="str">
        <f t="shared" si="3"/>
        <v>S</v>
      </c>
      <c r="O6" s="60" t="str">
        <f t="shared" si="3"/>
        <v>S</v>
      </c>
      <c r="P6" s="60" t="str">
        <f t="shared" si="3"/>
        <v>M</v>
      </c>
      <c r="Q6" s="60" t="str">
        <f t="shared" si="3"/>
        <v>T</v>
      </c>
      <c r="R6" s="60" t="str">
        <f t="shared" si="3"/>
        <v>W</v>
      </c>
      <c r="S6" s="60" t="str">
        <f t="shared" si="3"/>
        <v>T</v>
      </c>
      <c r="T6" s="60" t="str">
        <f t="shared" si="3"/>
        <v>F</v>
      </c>
      <c r="U6" s="60" t="str">
        <f t="shared" si="3"/>
        <v>S</v>
      </c>
      <c r="V6" s="60" t="str">
        <f t="shared" si="3"/>
        <v>S</v>
      </c>
      <c r="W6" s="60" t="str">
        <f t="shared" si="3"/>
        <v>M</v>
      </c>
      <c r="X6" s="60" t="str">
        <f t="shared" si="3"/>
        <v>T</v>
      </c>
      <c r="Y6" s="60" t="str">
        <f t="shared" si="3"/>
        <v>W</v>
      </c>
      <c r="Z6" s="60" t="str">
        <f t="shared" si="3"/>
        <v>T</v>
      </c>
      <c r="AA6" s="60" t="str">
        <f t="shared" si="3"/>
        <v>F</v>
      </c>
      <c r="AB6" s="60" t="str">
        <f t="shared" si="3"/>
        <v>S</v>
      </c>
      <c r="AC6" s="60" t="str">
        <f t="shared" si="3"/>
        <v>S</v>
      </c>
      <c r="AD6" s="60" t="str">
        <f t="shared" si="3"/>
        <v>M</v>
      </c>
      <c r="AE6" s="60" t="str">
        <f t="shared" si="3"/>
        <v>T</v>
      </c>
      <c r="AF6" s="60" t="str">
        <f t="shared" si="3"/>
        <v>W</v>
      </c>
      <c r="AG6" s="60" t="str">
        <f t="shared" si="3"/>
        <v>T</v>
      </c>
      <c r="AH6" s="60" t="str">
        <f t="shared" si="3"/>
        <v>F</v>
      </c>
      <c r="AI6" s="60" t="str">
        <f t="shared" si="3"/>
        <v>S</v>
      </c>
      <c r="AJ6" s="60" t="str">
        <f t="shared" si="3"/>
        <v>S</v>
      </c>
      <c r="AK6" s="60" t="str">
        <f t="shared" si="3"/>
        <v>M</v>
      </c>
      <c r="AL6" s="60" t="str">
        <f t="shared" si="3"/>
        <v>T</v>
      </c>
      <c r="AM6" s="60" t="str">
        <f t="shared" si="3"/>
        <v>W</v>
      </c>
      <c r="AN6" s="60" t="str">
        <f t="shared" si="3"/>
        <v>T</v>
      </c>
      <c r="AO6" s="60" t="str">
        <f t="shared" si="3"/>
        <v>F</v>
      </c>
      <c r="AP6" s="60" t="str">
        <f t="shared" si="3"/>
        <v>S</v>
      </c>
      <c r="AQ6" s="60" t="str">
        <f t="shared" si="3"/>
        <v>S</v>
      </c>
      <c r="AR6" s="60" t="str">
        <f t="shared" si="3"/>
        <v>M</v>
      </c>
      <c r="AS6" s="60" t="str">
        <f t="shared" si="3"/>
        <v>T</v>
      </c>
      <c r="AT6" s="60" t="str">
        <f t="shared" si="3"/>
        <v>W</v>
      </c>
      <c r="AU6" s="60" t="str">
        <f t="shared" si="3"/>
        <v>T</v>
      </c>
      <c r="AV6" s="60" t="str">
        <f t="shared" si="3"/>
        <v>F</v>
      </c>
      <c r="AW6" s="60" t="str">
        <f t="shared" si="3"/>
        <v>S</v>
      </c>
      <c r="AX6" s="60" t="str">
        <f t="shared" si="3"/>
        <v>S</v>
      </c>
      <c r="AY6" s="60" t="str">
        <f t="shared" si="3"/>
        <v>M</v>
      </c>
      <c r="AZ6" s="60" t="str">
        <f t="shared" si="3"/>
        <v>T</v>
      </c>
      <c r="BA6" s="60" t="str">
        <f t="shared" si="3"/>
        <v>W</v>
      </c>
      <c r="BB6" s="60" t="str">
        <f t="shared" si="3"/>
        <v>T</v>
      </c>
      <c r="BC6" s="60" t="str">
        <f t="shared" si="3"/>
        <v>F</v>
      </c>
      <c r="BD6" s="60" t="str">
        <f t="shared" si="3"/>
        <v>S</v>
      </c>
      <c r="BE6" s="60" t="str">
        <f t="shared" si="3"/>
        <v>S</v>
      </c>
      <c r="BF6" s="60" t="str">
        <f t="shared" si="3"/>
        <v>M</v>
      </c>
      <c r="BG6" s="60" t="str">
        <f t="shared" si="3"/>
        <v>T</v>
      </c>
      <c r="BH6" s="60" t="str">
        <f t="shared" si="3"/>
        <v>W</v>
      </c>
      <c r="BI6" s="60" t="str">
        <f t="shared" si="3"/>
        <v>T</v>
      </c>
      <c r="BJ6" s="60" t="str">
        <f t="shared" si="3"/>
        <v>F</v>
      </c>
      <c r="BK6" s="60" t="str">
        <f t="shared" si="3"/>
        <v>S</v>
      </c>
      <c r="BL6" s="60" t="str">
        <f t="shared" si="3"/>
        <v>S</v>
      </c>
    </row>
    <row r="7" spans="1:64" ht="30" hidden="1" customHeight="1" thickBot="1" x14ac:dyDescent="0.25">
      <c r="A7" s="48" t="s">
        <v>76</v>
      </c>
      <c r="C7" s="61"/>
      <c r="E7" s="46"/>
      <c r="H7" s="46" t="str">
        <f>IF(OR(ISBLANK(task_start),ISBLANK(task_end)),"",task_end-task_start+1)</f>
        <v/>
      </c>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row>
    <row r="8" spans="1:64" s="69" customFormat="1" ht="30" customHeight="1" thickBot="1" x14ac:dyDescent="0.25">
      <c r="A8" s="40" t="s">
        <v>77</v>
      </c>
      <c r="B8" s="63" t="s">
        <v>98</v>
      </c>
      <c r="C8" s="64"/>
      <c r="D8" s="65"/>
      <c r="E8" s="66"/>
      <c r="F8" s="67"/>
      <c r="G8" s="68"/>
      <c r="H8" s="68" t="str">
        <f t="shared" ref="H8:H33" si="4">IF(OR(ISBLANK(task_start),ISBLANK(task_end)),"",task_end-task_start+1)</f>
        <v/>
      </c>
      <c r="I8" s="62"/>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2"/>
      <c r="BK8" s="62"/>
      <c r="BL8" s="62"/>
    </row>
    <row r="9" spans="1:64" s="69" customFormat="1" ht="30" customHeight="1" thickBot="1" x14ac:dyDescent="0.25">
      <c r="A9" s="40" t="s">
        <v>78</v>
      </c>
      <c r="B9" s="70" t="s">
        <v>79</v>
      </c>
      <c r="C9" s="71" t="s">
        <v>80</v>
      </c>
      <c r="D9" s="72">
        <v>0.5</v>
      </c>
      <c r="E9" s="73">
        <f>Project_Start</f>
        <v>44581</v>
      </c>
      <c r="F9" s="73">
        <f>E9+3</f>
        <v>44584</v>
      </c>
      <c r="G9" s="68"/>
      <c r="H9" s="68">
        <f t="shared" si="4"/>
        <v>4</v>
      </c>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row>
    <row r="10" spans="1:64" s="69" customFormat="1" ht="30" customHeight="1" thickBot="1" x14ac:dyDescent="0.25">
      <c r="A10" s="40" t="s">
        <v>81</v>
      </c>
      <c r="B10" s="70" t="s">
        <v>82</v>
      </c>
      <c r="C10" s="71"/>
      <c r="D10" s="72">
        <v>0.6</v>
      </c>
      <c r="E10" s="73">
        <f>F9</f>
        <v>44584</v>
      </c>
      <c r="F10" s="73">
        <f>E10+2</f>
        <v>44586</v>
      </c>
      <c r="G10" s="68"/>
      <c r="H10" s="68">
        <f t="shared" si="4"/>
        <v>3</v>
      </c>
      <c r="I10" s="62"/>
      <c r="J10" s="62"/>
      <c r="K10" s="62"/>
      <c r="L10" s="62"/>
      <c r="M10" s="62"/>
      <c r="N10" s="62"/>
      <c r="O10" s="62"/>
      <c r="P10" s="62"/>
      <c r="Q10" s="62"/>
      <c r="R10" s="62"/>
      <c r="S10" s="62"/>
      <c r="T10" s="62"/>
      <c r="U10" s="74"/>
      <c r="V10" s="74"/>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row>
    <row r="11" spans="1:64" s="69" customFormat="1" ht="30" customHeight="1" thickBot="1" x14ac:dyDescent="0.25">
      <c r="A11" s="48"/>
      <c r="B11" s="70" t="s">
        <v>83</v>
      </c>
      <c r="C11" s="71"/>
      <c r="D11" s="72">
        <v>0.5</v>
      </c>
      <c r="E11" s="73">
        <f>F10</f>
        <v>44586</v>
      </c>
      <c r="F11" s="73">
        <f>E11+4</f>
        <v>44590</v>
      </c>
      <c r="G11" s="68"/>
      <c r="H11" s="68">
        <f t="shared" si="4"/>
        <v>5</v>
      </c>
      <c r="I11" s="62"/>
      <c r="J11" s="62"/>
      <c r="K11" s="62"/>
      <c r="L11" s="62"/>
      <c r="M11" s="62"/>
      <c r="N11" s="62"/>
      <c r="O11" s="62"/>
      <c r="P11" s="62"/>
      <c r="Q11" s="62"/>
      <c r="R11" s="62"/>
      <c r="S11" s="62"/>
      <c r="T11" s="62"/>
      <c r="U11" s="62"/>
      <c r="V11" s="62"/>
      <c r="W11" s="62"/>
      <c r="X11" s="62"/>
      <c r="Y11" s="62"/>
      <c r="Z11" s="62"/>
      <c r="AA11" s="62"/>
      <c r="AB11" s="62"/>
      <c r="AC11" s="62"/>
      <c r="AD11" s="62"/>
      <c r="AE11" s="62"/>
      <c r="AF11" s="62"/>
      <c r="AG11" s="62"/>
      <c r="AH11" s="62"/>
      <c r="AI11" s="62"/>
      <c r="AJ11" s="62"/>
      <c r="AK11" s="62"/>
      <c r="AL11" s="62"/>
      <c r="AM11" s="62"/>
      <c r="AN11" s="62"/>
      <c r="AO11" s="62"/>
      <c r="AP11" s="62"/>
      <c r="AQ11" s="62"/>
      <c r="AR11" s="62"/>
      <c r="AS11" s="62"/>
      <c r="AT11" s="62"/>
      <c r="AU11" s="62"/>
      <c r="AV11" s="62"/>
      <c r="AW11" s="62"/>
      <c r="AX11" s="62"/>
      <c r="AY11" s="62"/>
      <c r="AZ11" s="62"/>
      <c r="BA11" s="62"/>
      <c r="BB11" s="62"/>
      <c r="BC11" s="62"/>
      <c r="BD11" s="62"/>
      <c r="BE11" s="62"/>
      <c r="BF11" s="62"/>
      <c r="BG11" s="62"/>
      <c r="BH11" s="62"/>
      <c r="BI11" s="62"/>
      <c r="BJ11" s="62"/>
      <c r="BK11" s="62"/>
      <c r="BL11" s="62"/>
    </row>
    <row r="12" spans="1:64" s="69" customFormat="1" ht="30" customHeight="1" thickBot="1" x14ac:dyDescent="0.25">
      <c r="A12" s="48"/>
      <c r="B12" s="70" t="s">
        <v>84</v>
      </c>
      <c r="C12" s="71"/>
      <c r="D12" s="72">
        <v>0.25</v>
      </c>
      <c r="E12" s="73">
        <f>F11</f>
        <v>44590</v>
      </c>
      <c r="F12" s="73">
        <f>E12+5</f>
        <v>44595</v>
      </c>
      <c r="G12" s="68"/>
      <c r="H12" s="68">
        <f t="shared" si="4"/>
        <v>6</v>
      </c>
      <c r="I12" s="62"/>
      <c r="J12" s="62"/>
      <c r="K12" s="62"/>
      <c r="L12" s="62"/>
      <c r="M12" s="62"/>
      <c r="N12" s="62"/>
      <c r="O12" s="62"/>
      <c r="P12" s="62"/>
      <c r="Q12" s="62"/>
      <c r="R12" s="62"/>
      <c r="S12" s="62"/>
      <c r="T12" s="62"/>
      <c r="U12" s="62"/>
      <c r="V12" s="62"/>
      <c r="W12" s="62"/>
      <c r="X12" s="62"/>
      <c r="Y12" s="74"/>
      <c r="Z12" s="62"/>
      <c r="AA12" s="62"/>
      <c r="AB12" s="62"/>
      <c r="AC12" s="62"/>
      <c r="AD12" s="62"/>
      <c r="AE12" s="62"/>
      <c r="AF12" s="62"/>
      <c r="AG12" s="62"/>
      <c r="AH12" s="62"/>
      <c r="AI12" s="62"/>
      <c r="AJ12" s="62"/>
      <c r="AK12" s="62"/>
      <c r="AL12" s="62"/>
      <c r="AM12" s="62"/>
      <c r="AN12" s="62"/>
      <c r="AO12" s="62"/>
      <c r="AP12" s="62"/>
      <c r="AQ12" s="62"/>
      <c r="AR12" s="62"/>
      <c r="AS12" s="62"/>
      <c r="AT12" s="62"/>
      <c r="AU12" s="62"/>
      <c r="AV12" s="62"/>
      <c r="AW12" s="62"/>
      <c r="AX12" s="62"/>
      <c r="AY12" s="62"/>
      <c r="AZ12" s="62"/>
      <c r="BA12" s="62"/>
      <c r="BB12" s="62"/>
      <c r="BC12" s="62"/>
      <c r="BD12" s="62"/>
      <c r="BE12" s="62"/>
      <c r="BF12" s="62"/>
      <c r="BG12" s="62"/>
      <c r="BH12" s="62"/>
      <c r="BI12" s="62"/>
      <c r="BJ12" s="62"/>
      <c r="BK12" s="62"/>
      <c r="BL12" s="62"/>
    </row>
    <row r="13" spans="1:64" s="69" customFormat="1" ht="30" customHeight="1" thickBot="1" x14ac:dyDescent="0.25">
      <c r="A13" s="48"/>
      <c r="B13" s="70" t="s">
        <v>85</v>
      </c>
      <c r="C13" s="71"/>
      <c r="D13" s="72"/>
      <c r="E13" s="73">
        <f>E10+1</f>
        <v>44585</v>
      </c>
      <c r="F13" s="73">
        <f>E13+2</f>
        <v>44587</v>
      </c>
      <c r="G13" s="68"/>
      <c r="H13" s="68">
        <f t="shared" si="4"/>
        <v>3</v>
      </c>
      <c r="I13" s="62"/>
      <c r="J13" s="62"/>
      <c r="K13" s="62"/>
      <c r="L13" s="62"/>
      <c r="M13" s="62"/>
      <c r="N13" s="62"/>
      <c r="O13" s="62"/>
      <c r="P13" s="62"/>
      <c r="Q13" s="62"/>
      <c r="R13" s="62"/>
      <c r="S13" s="62"/>
      <c r="T13" s="62"/>
      <c r="U13" s="62"/>
      <c r="V13" s="62"/>
      <c r="W13" s="62"/>
      <c r="X13" s="62"/>
      <c r="Y13" s="62"/>
      <c r="Z13" s="62"/>
      <c r="AA13" s="62"/>
      <c r="AB13" s="62"/>
      <c r="AC13" s="62"/>
      <c r="AD13" s="62"/>
      <c r="AE13" s="62"/>
      <c r="AF13" s="62"/>
      <c r="AG13" s="62"/>
      <c r="AH13" s="62"/>
      <c r="AI13" s="62"/>
      <c r="AJ13" s="62"/>
      <c r="AK13" s="62"/>
      <c r="AL13" s="62"/>
      <c r="AM13" s="62"/>
      <c r="AN13" s="62"/>
      <c r="AO13" s="62"/>
      <c r="AP13" s="62"/>
      <c r="AQ13" s="62"/>
      <c r="AR13" s="62"/>
      <c r="AS13" s="62"/>
      <c r="AT13" s="62"/>
      <c r="AU13" s="62"/>
      <c r="AV13" s="62"/>
      <c r="AW13" s="62"/>
      <c r="AX13" s="62"/>
      <c r="AY13" s="62"/>
      <c r="AZ13" s="62"/>
      <c r="BA13" s="62"/>
      <c r="BB13" s="62"/>
      <c r="BC13" s="62"/>
      <c r="BD13" s="62"/>
      <c r="BE13" s="62"/>
      <c r="BF13" s="62"/>
      <c r="BG13" s="62"/>
      <c r="BH13" s="62"/>
      <c r="BI13" s="62"/>
      <c r="BJ13" s="62"/>
      <c r="BK13" s="62"/>
      <c r="BL13" s="62"/>
    </row>
    <row r="14" spans="1:64" s="69" customFormat="1" ht="30" customHeight="1" thickBot="1" x14ac:dyDescent="0.25">
      <c r="A14" s="40" t="s">
        <v>86</v>
      </c>
      <c r="B14" s="75" t="s">
        <v>87</v>
      </c>
      <c r="C14" s="76"/>
      <c r="D14" s="77"/>
      <c r="E14" s="78"/>
      <c r="F14" s="79"/>
      <c r="G14" s="68"/>
      <c r="H14" s="68" t="str">
        <f t="shared" si="4"/>
        <v/>
      </c>
      <c r="I14" s="62"/>
      <c r="J14" s="62"/>
      <c r="K14" s="62"/>
      <c r="L14" s="62"/>
      <c r="M14" s="62"/>
      <c r="N14" s="62"/>
      <c r="O14" s="62"/>
      <c r="P14" s="62"/>
      <c r="Q14" s="62"/>
      <c r="R14" s="62"/>
      <c r="S14" s="62"/>
      <c r="T14" s="62"/>
      <c r="U14" s="62"/>
      <c r="V14" s="62"/>
      <c r="W14" s="62"/>
      <c r="X14" s="62"/>
      <c r="Y14" s="62"/>
      <c r="Z14" s="62"/>
      <c r="AA14" s="62"/>
      <c r="AB14" s="62"/>
      <c r="AC14" s="62"/>
      <c r="AD14" s="62"/>
      <c r="AE14" s="62"/>
      <c r="AF14" s="62"/>
      <c r="AG14" s="62"/>
      <c r="AH14" s="62"/>
      <c r="AI14" s="62"/>
      <c r="AJ14" s="62"/>
      <c r="AK14" s="62"/>
      <c r="AL14" s="62"/>
      <c r="AM14" s="62"/>
      <c r="AN14" s="62"/>
      <c r="AO14" s="62"/>
      <c r="AP14" s="62"/>
      <c r="AQ14" s="62"/>
      <c r="AR14" s="62"/>
      <c r="AS14" s="62"/>
      <c r="AT14" s="62"/>
      <c r="AU14" s="62"/>
      <c r="AV14" s="62"/>
      <c r="AW14" s="62"/>
      <c r="AX14" s="62"/>
      <c r="AY14" s="62"/>
      <c r="AZ14" s="62"/>
      <c r="BA14" s="62"/>
      <c r="BB14" s="62"/>
      <c r="BC14" s="62"/>
      <c r="BD14" s="62"/>
      <c r="BE14" s="62"/>
      <c r="BF14" s="62"/>
      <c r="BG14" s="62"/>
      <c r="BH14" s="62"/>
      <c r="BI14" s="62"/>
      <c r="BJ14" s="62"/>
      <c r="BK14" s="62"/>
      <c r="BL14" s="62"/>
    </row>
    <row r="15" spans="1:64" s="69" customFormat="1" ht="30" customHeight="1" thickBot="1" x14ac:dyDescent="0.25">
      <c r="A15" s="40"/>
      <c r="B15" s="80" t="s">
        <v>79</v>
      </c>
      <c r="C15" s="81"/>
      <c r="D15" s="82">
        <v>0.5</v>
      </c>
      <c r="E15" s="83">
        <f>E13+1</f>
        <v>44586</v>
      </c>
      <c r="F15" s="83">
        <f>E15+4</f>
        <v>44590</v>
      </c>
      <c r="G15" s="68"/>
      <c r="H15" s="68">
        <f t="shared" si="4"/>
        <v>5</v>
      </c>
      <c r="I15" s="62"/>
      <c r="J15" s="62"/>
      <c r="K15" s="62"/>
      <c r="L15" s="62"/>
      <c r="M15" s="62"/>
      <c r="N15" s="62"/>
      <c r="O15" s="62"/>
      <c r="P15" s="62"/>
      <c r="Q15" s="62"/>
      <c r="R15" s="62"/>
      <c r="S15" s="62"/>
      <c r="T15" s="62"/>
      <c r="U15" s="62"/>
      <c r="V15" s="62"/>
      <c r="W15" s="62"/>
      <c r="X15" s="62"/>
      <c r="Y15" s="62"/>
      <c r="Z15" s="62"/>
      <c r="AA15" s="62"/>
      <c r="AB15" s="62"/>
      <c r="AC15" s="62"/>
      <c r="AD15" s="62"/>
      <c r="AE15" s="62"/>
      <c r="AF15" s="62"/>
      <c r="AG15" s="62"/>
      <c r="AH15" s="62"/>
      <c r="AI15" s="62"/>
      <c r="AJ15" s="62"/>
      <c r="AK15" s="62"/>
      <c r="AL15" s="62"/>
      <c r="AM15" s="62"/>
      <c r="AN15" s="62"/>
      <c r="AO15" s="62"/>
      <c r="AP15" s="62"/>
      <c r="AQ15" s="62"/>
      <c r="AR15" s="62"/>
      <c r="AS15" s="62"/>
      <c r="AT15" s="62"/>
      <c r="AU15" s="62"/>
      <c r="AV15" s="62"/>
      <c r="AW15" s="62"/>
      <c r="AX15" s="62"/>
      <c r="AY15" s="62"/>
      <c r="AZ15" s="62"/>
      <c r="BA15" s="62"/>
      <c r="BB15" s="62"/>
      <c r="BC15" s="62"/>
      <c r="BD15" s="62"/>
      <c r="BE15" s="62"/>
      <c r="BF15" s="62"/>
      <c r="BG15" s="62"/>
      <c r="BH15" s="62"/>
      <c r="BI15" s="62"/>
      <c r="BJ15" s="62"/>
      <c r="BK15" s="62"/>
      <c r="BL15" s="62"/>
    </row>
    <row r="16" spans="1:64" s="69" customFormat="1" ht="30" customHeight="1" thickBot="1" x14ac:dyDescent="0.25">
      <c r="A16" s="48"/>
      <c r="B16" s="80" t="s">
        <v>82</v>
      </c>
      <c r="C16" s="81"/>
      <c r="D16" s="82">
        <v>0.5</v>
      </c>
      <c r="E16" s="83">
        <f>E15+2</f>
        <v>44588</v>
      </c>
      <c r="F16" s="83">
        <f>E16+5</f>
        <v>44593</v>
      </c>
      <c r="G16" s="68"/>
      <c r="H16" s="68">
        <f t="shared" si="4"/>
        <v>6</v>
      </c>
      <c r="I16" s="62"/>
      <c r="J16" s="62"/>
      <c r="K16" s="62"/>
      <c r="L16" s="62"/>
      <c r="M16" s="62"/>
      <c r="N16" s="62"/>
      <c r="O16" s="62"/>
      <c r="P16" s="62"/>
      <c r="Q16" s="62"/>
      <c r="R16" s="62"/>
      <c r="S16" s="62"/>
      <c r="T16" s="62"/>
      <c r="U16" s="74"/>
      <c r="V16" s="74"/>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row>
    <row r="17" spans="1:64" s="69" customFormat="1" ht="30" customHeight="1" thickBot="1" x14ac:dyDescent="0.25">
      <c r="A17" s="48"/>
      <c r="B17" s="80" t="s">
        <v>83</v>
      </c>
      <c r="C17" s="81"/>
      <c r="D17" s="82"/>
      <c r="E17" s="83">
        <f>F16</f>
        <v>44593</v>
      </c>
      <c r="F17" s="83">
        <f>E17+3</f>
        <v>44596</v>
      </c>
      <c r="G17" s="68"/>
      <c r="H17" s="68">
        <f t="shared" si="4"/>
        <v>4</v>
      </c>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row>
    <row r="18" spans="1:64" s="69" customFormat="1" ht="30" customHeight="1" thickBot="1" x14ac:dyDescent="0.25">
      <c r="A18" s="48"/>
      <c r="B18" s="80" t="s">
        <v>84</v>
      </c>
      <c r="C18" s="81"/>
      <c r="D18" s="82"/>
      <c r="E18" s="83">
        <f>E17</f>
        <v>44593</v>
      </c>
      <c r="F18" s="83">
        <f>E18+2</f>
        <v>44595</v>
      </c>
      <c r="G18" s="68"/>
      <c r="H18" s="68">
        <f t="shared" si="4"/>
        <v>3</v>
      </c>
      <c r="I18" s="62"/>
      <c r="J18" s="62"/>
      <c r="K18" s="62"/>
      <c r="L18" s="62"/>
      <c r="M18" s="62"/>
      <c r="N18" s="62"/>
      <c r="O18" s="62"/>
      <c r="P18" s="62"/>
      <c r="Q18" s="62"/>
      <c r="R18" s="62"/>
      <c r="S18" s="62"/>
      <c r="T18" s="62"/>
      <c r="U18" s="62"/>
      <c r="V18" s="62"/>
      <c r="W18" s="62"/>
      <c r="X18" s="62"/>
      <c r="Y18" s="74"/>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62"/>
      <c r="AZ18" s="62"/>
      <c r="BA18" s="62"/>
      <c r="BB18" s="62"/>
      <c r="BC18" s="62"/>
      <c r="BD18" s="62"/>
      <c r="BE18" s="62"/>
      <c r="BF18" s="62"/>
      <c r="BG18" s="62"/>
      <c r="BH18" s="62"/>
      <c r="BI18" s="62"/>
      <c r="BJ18" s="62"/>
      <c r="BK18" s="62"/>
      <c r="BL18" s="62"/>
    </row>
    <row r="19" spans="1:64" s="69" customFormat="1" ht="30" customHeight="1" thickBot="1" x14ac:dyDescent="0.25">
      <c r="A19" s="48"/>
      <c r="B19" s="80" t="s">
        <v>85</v>
      </c>
      <c r="C19" s="81"/>
      <c r="D19" s="82"/>
      <c r="E19" s="83">
        <f>E18</f>
        <v>44593</v>
      </c>
      <c r="F19" s="83">
        <f>E19+3</f>
        <v>44596</v>
      </c>
      <c r="G19" s="68"/>
      <c r="H19" s="68">
        <f t="shared" si="4"/>
        <v>4</v>
      </c>
      <c r="I19" s="62"/>
      <c r="J19" s="62"/>
      <c r="K19" s="62"/>
      <c r="L19" s="62"/>
      <c r="M19" s="62"/>
      <c r="N19" s="62"/>
      <c r="O19" s="62"/>
      <c r="P19" s="62"/>
      <c r="Q19" s="62"/>
      <c r="R19" s="62"/>
      <c r="S19" s="62"/>
      <c r="T19" s="62"/>
      <c r="U19" s="62"/>
      <c r="V19" s="62"/>
      <c r="W19" s="62"/>
      <c r="X19" s="62"/>
      <c r="Y19" s="62"/>
      <c r="Z19" s="62"/>
      <c r="AA19" s="62"/>
      <c r="AB19" s="62"/>
      <c r="AC19" s="62"/>
      <c r="AD19" s="62"/>
      <c r="AE19" s="62"/>
      <c r="AF19" s="62"/>
      <c r="AG19" s="62"/>
      <c r="AH19" s="62"/>
      <c r="AI19" s="62"/>
      <c r="AJ19" s="62"/>
      <c r="AK19" s="62"/>
      <c r="AL19" s="62"/>
      <c r="AM19" s="62"/>
      <c r="AN19" s="62"/>
      <c r="AO19" s="62"/>
      <c r="AP19" s="62"/>
      <c r="AQ19" s="62"/>
      <c r="AR19" s="62"/>
      <c r="AS19" s="62"/>
      <c r="AT19" s="62"/>
      <c r="AU19" s="62"/>
      <c r="AV19" s="62"/>
      <c r="AW19" s="62"/>
      <c r="AX19" s="62"/>
      <c r="AY19" s="62"/>
      <c r="AZ19" s="62"/>
      <c r="BA19" s="62"/>
      <c r="BB19" s="62"/>
      <c r="BC19" s="62"/>
      <c r="BD19" s="62"/>
      <c r="BE19" s="62"/>
      <c r="BF19" s="62"/>
      <c r="BG19" s="62"/>
      <c r="BH19" s="62"/>
      <c r="BI19" s="62"/>
      <c r="BJ19" s="62"/>
      <c r="BK19" s="62"/>
      <c r="BL19" s="62"/>
    </row>
    <row r="20" spans="1:64" s="69" customFormat="1" ht="30" customHeight="1" thickBot="1" x14ac:dyDescent="0.25">
      <c r="A20" s="48" t="s">
        <v>88</v>
      </c>
      <c r="B20" s="84" t="s">
        <v>89</v>
      </c>
      <c r="C20" s="85"/>
      <c r="D20" s="86"/>
      <c r="E20" s="87"/>
      <c r="F20" s="88"/>
      <c r="G20" s="68"/>
      <c r="H20" s="68" t="str">
        <f t="shared" si="4"/>
        <v/>
      </c>
      <c r="I20" s="62"/>
      <c r="J20" s="62"/>
      <c r="K20" s="62"/>
      <c r="L20" s="62"/>
      <c r="M20" s="62"/>
      <c r="N20" s="62"/>
      <c r="O20" s="62"/>
      <c r="P20" s="62"/>
      <c r="Q20" s="62"/>
      <c r="R20" s="62"/>
      <c r="S20" s="62"/>
      <c r="T20" s="62"/>
      <c r="U20" s="62"/>
      <c r="V20" s="62"/>
      <c r="W20" s="62"/>
      <c r="X20" s="62"/>
      <c r="Y20" s="62"/>
      <c r="Z20" s="62"/>
      <c r="AA20" s="62"/>
      <c r="AB20" s="62"/>
      <c r="AC20" s="62"/>
      <c r="AD20" s="62"/>
      <c r="AE20" s="62"/>
      <c r="AF20" s="62"/>
      <c r="AG20" s="62"/>
      <c r="AH20" s="62"/>
      <c r="AI20" s="62"/>
      <c r="AJ20" s="62"/>
      <c r="AK20" s="62"/>
      <c r="AL20" s="62"/>
      <c r="AM20" s="62"/>
      <c r="AN20" s="62"/>
      <c r="AO20" s="62"/>
      <c r="AP20" s="62"/>
      <c r="AQ20" s="62"/>
      <c r="AR20" s="62"/>
      <c r="AS20" s="62"/>
      <c r="AT20" s="62"/>
      <c r="AU20" s="62"/>
      <c r="AV20" s="62"/>
      <c r="AW20" s="62"/>
      <c r="AX20" s="62"/>
      <c r="AY20" s="62"/>
      <c r="AZ20" s="62"/>
      <c r="BA20" s="62"/>
      <c r="BB20" s="62"/>
      <c r="BC20" s="62"/>
      <c r="BD20" s="62"/>
      <c r="BE20" s="62"/>
      <c r="BF20" s="62"/>
      <c r="BG20" s="62"/>
      <c r="BH20" s="62"/>
      <c r="BI20" s="62"/>
      <c r="BJ20" s="62"/>
      <c r="BK20" s="62"/>
      <c r="BL20" s="62"/>
    </row>
    <row r="21" spans="1:64" s="69" customFormat="1" ht="30" customHeight="1" thickBot="1" x14ac:dyDescent="0.25">
      <c r="A21" s="48"/>
      <c r="B21" s="89" t="s">
        <v>79</v>
      </c>
      <c r="C21" s="90"/>
      <c r="D21" s="91"/>
      <c r="E21" s="92">
        <f>E9+15</f>
        <v>44596</v>
      </c>
      <c r="F21" s="92">
        <f>E21+5</f>
        <v>44601</v>
      </c>
      <c r="G21" s="68"/>
      <c r="H21" s="68">
        <f t="shared" si="4"/>
        <v>6</v>
      </c>
      <c r="I21" s="62"/>
      <c r="J21" s="62"/>
      <c r="K21" s="62"/>
      <c r="L21" s="62"/>
      <c r="M21" s="62"/>
      <c r="N21" s="62"/>
      <c r="O21" s="62"/>
      <c r="P21" s="62"/>
      <c r="Q21" s="62"/>
      <c r="R21" s="62"/>
      <c r="S21" s="62"/>
      <c r="T21" s="62"/>
      <c r="U21" s="62"/>
      <c r="V21" s="62"/>
      <c r="W21" s="62"/>
      <c r="X21" s="62"/>
      <c r="Y21" s="62"/>
      <c r="Z21" s="62"/>
      <c r="AA21" s="62"/>
      <c r="AB21" s="62"/>
      <c r="AC21" s="62"/>
      <c r="AD21" s="62"/>
      <c r="AE21" s="62"/>
      <c r="AF21" s="62"/>
      <c r="AG21" s="62"/>
      <c r="AH21" s="62"/>
      <c r="AI21" s="62"/>
      <c r="AJ21" s="62"/>
      <c r="AK21" s="62"/>
      <c r="AL21" s="62"/>
      <c r="AM21" s="62"/>
      <c r="AN21" s="62"/>
      <c r="AO21" s="62"/>
      <c r="AP21" s="62"/>
      <c r="AQ21" s="62"/>
      <c r="AR21" s="62"/>
      <c r="AS21" s="62"/>
      <c r="AT21" s="62"/>
      <c r="AU21" s="62"/>
      <c r="AV21" s="62"/>
      <c r="AW21" s="62"/>
      <c r="AX21" s="62"/>
      <c r="AY21" s="62"/>
      <c r="AZ21" s="62"/>
      <c r="BA21" s="62"/>
      <c r="BB21" s="62"/>
      <c r="BC21" s="62"/>
      <c r="BD21" s="62"/>
      <c r="BE21" s="62"/>
      <c r="BF21" s="62"/>
      <c r="BG21" s="62"/>
      <c r="BH21" s="62"/>
      <c r="BI21" s="62"/>
      <c r="BJ21" s="62"/>
      <c r="BK21" s="62"/>
      <c r="BL21" s="62"/>
    </row>
    <row r="22" spans="1:64" s="69" customFormat="1" ht="30" customHeight="1" thickBot="1" x14ac:dyDescent="0.25">
      <c r="A22" s="48"/>
      <c r="B22" s="89" t="s">
        <v>82</v>
      </c>
      <c r="C22" s="90"/>
      <c r="D22" s="91"/>
      <c r="E22" s="92">
        <f>F21+1</f>
        <v>44602</v>
      </c>
      <c r="F22" s="92">
        <f>E22+4</f>
        <v>44606</v>
      </c>
      <c r="G22" s="68"/>
      <c r="H22" s="68">
        <f t="shared" si="4"/>
        <v>5</v>
      </c>
      <c r="I22" s="62"/>
      <c r="J22" s="62"/>
      <c r="K22" s="62"/>
      <c r="L22" s="62"/>
      <c r="M22" s="62"/>
      <c r="N22" s="62"/>
      <c r="O22" s="62"/>
      <c r="P22" s="62"/>
      <c r="Q22" s="62"/>
      <c r="R22" s="62"/>
      <c r="S22" s="62"/>
      <c r="T22" s="62"/>
      <c r="U22" s="62"/>
      <c r="V22" s="62"/>
      <c r="W22" s="62"/>
      <c r="X22" s="62"/>
      <c r="Y22" s="62"/>
      <c r="Z22" s="62"/>
      <c r="AA22" s="62"/>
      <c r="AB22" s="62"/>
      <c r="AC22" s="62"/>
      <c r="AD22" s="62"/>
      <c r="AE22" s="62"/>
      <c r="AF22" s="62"/>
      <c r="AG22" s="62"/>
      <c r="AH22" s="62"/>
      <c r="AI22" s="62"/>
      <c r="AJ22" s="62"/>
      <c r="AK22" s="62"/>
      <c r="AL22" s="62"/>
      <c r="AM22" s="62"/>
      <c r="AN22" s="62"/>
      <c r="AO22" s="62"/>
      <c r="AP22" s="62"/>
      <c r="AQ22" s="62"/>
      <c r="AR22" s="62"/>
      <c r="AS22" s="62"/>
      <c r="AT22" s="62"/>
      <c r="AU22" s="62"/>
      <c r="AV22" s="62"/>
      <c r="AW22" s="62"/>
      <c r="AX22" s="62"/>
      <c r="AY22" s="62"/>
      <c r="AZ22" s="62"/>
      <c r="BA22" s="62"/>
      <c r="BB22" s="62"/>
      <c r="BC22" s="62"/>
      <c r="BD22" s="62"/>
      <c r="BE22" s="62"/>
      <c r="BF22" s="62"/>
      <c r="BG22" s="62"/>
      <c r="BH22" s="62"/>
      <c r="BI22" s="62"/>
      <c r="BJ22" s="62"/>
      <c r="BK22" s="62"/>
      <c r="BL22" s="62"/>
    </row>
    <row r="23" spans="1:64" s="69" customFormat="1" ht="30" customHeight="1" thickBot="1" x14ac:dyDescent="0.25">
      <c r="A23" s="48"/>
      <c r="B23" s="89" t="s">
        <v>83</v>
      </c>
      <c r="C23" s="90"/>
      <c r="D23" s="91"/>
      <c r="E23" s="92">
        <f>E22+5</f>
        <v>44607</v>
      </c>
      <c r="F23" s="92">
        <f>E23+5</f>
        <v>44612</v>
      </c>
      <c r="G23" s="68"/>
      <c r="H23" s="68">
        <f t="shared" si="4"/>
        <v>6</v>
      </c>
      <c r="I23" s="62"/>
      <c r="J23" s="62"/>
      <c r="K23" s="62"/>
      <c r="L23" s="62"/>
      <c r="M23" s="62"/>
      <c r="N23" s="62"/>
      <c r="O23" s="62"/>
      <c r="P23" s="62"/>
      <c r="Q23" s="62"/>
      <c r="R23" s="62"/>
      <c r="S23" s="62"/>
      <c r="T23" s="62"/>
      <c r="U23" s="62"/>
      <c r="V23" s="62"/>
      <c r="W23" s="62"/>
      <c r="X23" s="62"/>
      <c r="Y23" s="62"/>
      <c r="Z23" s="62"/>
      <c r="AA23" s="62"/>
      <c r="AB23" s="62"/>
      <c r="AC23" s="62"/>
      <c r="AD23" s="62"/>
      <c r="AE23" s="62"/>
      <c r="AF23" s="62"/>
      <c r="AG23" s="62"/>
      <c r="AH23" s="62"/>
      <c r="AI23" s="62"/>
      <c r="AJ23" s="62"/>
      <c r="AK23" s="62"/>
      <c r="AL23" s="62"/>
      <c r="AM23" s="62"/>
      <c r="AN23" s="62"/>
      <c r="AO23" s="62"/>
      <c r="AP23" s="62"/>
      <c r="AQ23" s="62"/>
      <c r="AR23" s="62"/>
      <c r="AS23" s="62"/>
      <c r="AT23" s="62"/>
      <c r="AU23" s="62"/>
      <c r="AV23" s="62"/>
      <c r="AW23" s="62"/>
      <c r="AX23" s="62"/>
      <c r="AY23" s="62"/>
      <c r="AZ23" s="62"/>
      <c r="BA23" s="62"/>
      <c r="BB23" s="62"/>
      <c r="BC23" s="62"/>
      <c r="BD23" s="62"/>
      <c r="BE23" s="62"/>
      <c r="BF23" s="62"/>
      <c r="BG23" s="62"/>
      <c r="BH23" s="62"/>
      <c r="BI23" s="62"/>
      <c r="BJ23" s="62"/>
      <c r="BK23" s="62"/>
      <c r="BL23" s="62"/>
    </row>
    <row r="24" spans="1:64" s="69" customFormat="1" ht="30" customHeight="1" thickBot="1" x14ac:dyDescent="0.25">
      <c r="A24" s="48"/>
      <c r="B24" s="89" t="s">
        <v>84</v>
      </c>
      <c r="C24" s="90"/>
      <c r="D24" s="91"/>
      <c r="E24" s="92">
        <f>F23+1</f>
        <v>44613</v>
      </c>
      <c r="F24" s="92">
        <f>E24+4</f>
        <v>44617</v>
      </c>
      <c r="G24" s="68"/>
      <c r="H24" s="68">
        <f t="shared" si="4"/>
        <v>5</v>
      </c>
      <c r="I24" s="62"/>
      <c r="J24" s="62"/>
      <c r="K24" s="62"/>
      <c r="L24" s="62"/>
      <c r="M24" s="62"/>
      <c r="N24" s="62"/>
      <c r="O24" s="62"/>
      <c r="P24" s="62"/>
      <c r="Q24" s="62"/>
      <c r="R24" s="62"/>
      <c r="S24" s="62"/>
      <c r="T24" s="62"/>
      <c r="U24" s="62"/>
      <c r="V24" s="62"/>
      <c r="W24" s="62"/>
      <c r="X24" s="62"/>
      <c r="Y24" s="62"/>
      <c r="Z24" s="62"/>
      <c r="AA24" s="62"/>
      <c r="AB24" s="62"/>
      <c r="AC24" s="62"/>
      <c r="AD24" s="62"/>
      <c r="AE24" s="62"/>
      <c r="AF24" s="62"/>
      <c r="AG24" s="62"/>
      <c r="AH24" s="62"/>
      <c r="AI24" s="62"/>
      <c r="AJ24" s="62"/>
      <c r="AK24" s="62"/>
      <c r="AL24" s="62"/>
      <c r="AM24" s="62"/>
      <c r="AN24" s="62"/>
      <c r="AO24" s="62"/>
      <c r="AP24" s="62"/>
      <c r="AQ24" s="62"/>
      <c r="AR24" s="62"/>
      <c r="AS24" s="62"/>
      <c r="AT24" s="62"/>
      <c r="AU24" s="62"/>
      <c r="AV24" s="62"/>
      <c r="AW24" s="62"/>
      <c r="AX24" s="62"/>
      <c r="AY24" s="62"/>
      <c r="AZ24" s="62"/>
      <c r="BA24" s="62"/>
      <c r="BB24" s="62"/>
      <c r="BC24" s="62"/>
      <c r="BD24" s="62"/>
      <c r="BE24" s="62"/>
      <c r="BF24" s="62"/>
      <c r="BG24" s="62"/>
      <c r="BH24" s="62"/>
      <c r="BI24" s="62"/>
      <c r="BJ24" s="62"/>
      <c r="BK24" s="62"/>
      <c r="BL24" s="62"/>
    </row>
    <row r="25" spans="1:64" s="69" customFormat="1" ht="30" customHeight="1" thickBot="1" x14ac:dyDescent="0.25">
      <c r="A25" s="48"/>
      <c r="B25" s="89" t="s">
        <v>85</v>
      </c>
      <c r="C25" s="90"/>
      <c r="D25" s="91"/>
      <c r="E25" s="92">
        <f>E23</f>
        <v>44607</v>
      </c>
      <c r="F25" s="92">
        <f>E25+4</f>
        <v>44611</v>
      </c>
      <c r="G25" s="68"/>
      <c r="H25" s="68">
        <f t="shared" si="4"/>
        <v>5</v>
      </c>
      <c r="I25" s="62"/>
      <c r="J25" s="62"/>
      <c r="K25" s="62"/>
      <c r="L25" s="62"/>
      <c r="M25" s="62"/>
      <c r="N25" s="62"/>
      <c r="O25" s="62"/>
      <c r="P25" s="62"/>
      <c r="Q25" s="62"/>
      <c r="R25" s="62"/>
      <c r="S25" s="62"/>
      <c r="T25" s="62"/>
      <c r="U25" s="62"/>
      <c r="V25" s="62"/>
      <c r="W25" s="62"/>
      <c r="X25" s="62"/>
      <c r="Y25" s="62"/>
      <c r="Z25" s="62"/>
      <c r="AA25" s="62"/>
      <c r="AB25" s="62"/>
      <c r="AC25" s="62"/>
      <c r="AD25" s="62"/>
      <c r="AE25" s="62"/>
      <c r="AF25" s="62"/>
      <c r="AG25" s="62"/>
      <c r="AH25" s="62"/>
      <c r="AI25" s="62"/>
      <c r="AJ25" s="62"/>
      <c r="AK25" s="62"/>
      <c r="AL25" s="62"/>
      <c r="AM25" s="62"/>
      <c r="AN25" s="62"/>
      <c r="AO25" s="62"/>
      <c r="AP25" s="62"/>
      <c r="AQ25" s="62"/>
      <c r="AR25" s="62"/>
      <c r="AS25" s="62"/>
      <c r="AT25" s="62"/>
      <c r="AU25" s="62"/>
      <c r="AV25" s="62"/>
      <c r="AW25" s="62"/>
      <c r="AX25" s="62"/>
      <c r="AY25" s="62"/>
      <c r="AZ25" s="62"/>
      <c r="BA25" s="62"/>
      <c r="BB25" s="62"/>
      <c r="BC25" s="62"/>
      <c r="BD25" s="62"/>
      <c r="BE25" s="62"/>
      <c r="BF25" s="62"/>
      <c r="BG25" s="62"/>
      <c r="BH25" s="62"/>
      <c r="BI25" s="62"/>
      <c r="BJ25" s="62"/>
      <c r="BK25" s="62"/>
      <c r="BL25" s="62"/>
    </row>
    <row r="26" spans="1:64" s="69" customFormat="1" ht="30" customHeight="1" thickBot="1" x14ac:dyDescent="0.25">
      <c r="A26" s="48" t="s">
        <v>88</v>
      </c>
      <c r="B26" s="93" t="s">
        <v>90</v>
      </c>
      <c r="C26" s="94"/>
      <c r="D26" s="95"/>
      <c r="E26" s="96"/>
      <c r="F26" s="97"/>
      <c r="G26" s="68"/>
      <c r="H26" s="68" t="str">
        <f t="shared" si="4"/>
        <v/>
      </c>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62"/>
      <c r="AZ26" s="62"/>
      <c r="BA26" s="62"/>
      <c r="BB26" s="62"/>
      <c r="BC26" s="62"/>
      <c r="BD26" s="62"/>
      <c r="BE26" s="62"/>
      <c r="BF26" s="62"/>
      <c r="BG26" s="62"/>
      <c r="BH26" s="62"/>
      <c r="BI26" s="62"/>
      <c r="BJ26" s="62"/>
      <c r="BK26" s="62"/>
      <c r="BL26" s="62"/>
    </row>
    <row r="27" spans="1:64" s="69" customFormat="1" ht="30" customHeight="1" thickBot="1" x14ac:dyDescent="0.25">
      <c r="A27" s="48"/>
      <c r="B27" s="98" t="s">
        <v>79</v>
      </c>
      <c r="C27" s="99"/>
      <c r="D27" s="100"/>
      <c r="E27" s="101" t="s">
        <v>91</v>
      </c>
      <c r="F27" s="101" t="s">
        <v>91</v>
      </c>
      <c r="G27" s="68"/>
      <c r="H27" s="68" t="e">
        <f t="shared" si="4"/>
        <v>#VALUE!</v>
      </c>
      <c r="I27" s="62"/>
      <c r="J27" s="62"/>
      <c r="K27" s="62"/>
      <c r="L27" s="62"/>
      <c r="M27" s="62"/>
      <c r="N27" s="62"/>
      <c r="O27" s="62"/>
      <c r="P27" s="62"/>
      <c r="Q27" s="62"/>
      <c r="R27" s="62"/>
      <c r="S27" s="62"/>
      <c r="T27" s="62"/>
      <c r="U27" s="62"/>
      <c r="V27" s="62"/>
      <c r="W27" s="62"/>
      <c r="X27" s="62"/>
      <c r="Y27" s="62"/>
      <c r="Z27" s="62"/>
      <c r="AA27" s="62"/>
      <c r="AB27" s="62"/>
      <c r="AC27" s="62"/>
      <c r="AD27" s="62"/>
      <c r="AE27" s="62"/>
      <c r="AF27" s="62"/>
      <c r="AG27" s="62"/>
      <c r="AH27" s="62"/>
      <c r="AI27" s="62"/>
      <c r="AJ27" s="62"/>
      <c r="AK27" s="62"/>
      <c r="AL27" s="62"/>
      <c r="AM27" s="62"/>
      <c r="AN27" s="62"/>
      <c r="AO27" s="62"/>
      <c r="AP27" s="62"/>
      <c r="AQ27" s="62"/>
      <c r="AR27" s="62"/>
      <c r="AS27" s="62"/>
      <c r="AT27" s="62"/>
      <c r="AU27" s="62"/>
      <c r="AV27" s="62"/>
      <c r="AW27" s="62"/>
      <c r="AX27" s="62"/>
      <c r="AY27" s="62"/>
      <c r="AZ27" s="62"/>
      <c r="BA27" s="62"/>
      <c r="BB27" s="62"/>
      <c r="BC27" s="62"/>
      <c r="BD27" s="62"/>
      <c r="BE27" s="62"/>
      <c r="BF27" s="62"/>
      <c r="BG27" s="62"/>
      <c r="BH27" s="62"/>
      <c r="BI27" s="62"/>
      <c r="BJ27" s="62"/>
      <c r="BK27" s="62"/>
      <c r="BL27" s="62"/>
    </row>
    <row r="28" spans="1:64" s="69" customFormat="1" ht="30" customHeight="1" thickBot="1" x14ac:dyDescent="0.25">
      <c r="A28" s="48"/>
      <c r="B28" s="98" t="s">
        <v>82</v>
      </c>
      <c r="C28" s="99"/>
      <c r="D28" s="100"/>
      <c r="E28" s="101" t="s">
        <v>91</v>
      </c>
      <c r="F28" s="101" t="s">
        <v>91</v>
      </c>
      <c r="G28" s="68"/>
      <c r="H28" s="68" t="e">
        <f t="shared" si="4"/>
        <v>#VALUE!</v>
      </c>
      <c r="I28" s="62"/>
      <c r="J28" s="62"/>
      <c r="K28" s="62"/>
      <c r="L28" s="62"/>
      <c r="M28" s="62"/>
      <c r="N28" s="62"/>
      <c r="O28" s="62"/>
      <c r="P28" s="62"/>
      <c r="Q28" s="62"/>
      <c r="R28" s="62"/>
      <c r="S28" s="62"/>
      <c r="T28" s="62"/>
      <c r="U28" s="62"/>
      <c r="V28" s="62"/>
      <c r="W28" s="62"/>
      <c r="X28" s="62"/>
      <c r="Y28" s="62"/>
      <c r="Z28" s="62"/>
      <c r="AA28" s="62"/>
      <c r="AB28" s="62"/>
      <c r="AC28" s="62"/>
      <c r="AD28" s="62"/>
      <c r="AE28" s="62"/>
      <c r="AF28" s="62"/>
      <c r="AG28" s="62"/>
      <c r="AH28" s="62"/>
      <c r="AI28" s="62"/>
      <c r="AJ28" s="62"/>
      <c r="AK28" s="62"/>
      <c r="AL28" s="62"/>
      <c r="AM28" s="62"/>
      <c r="AN28" s="62"/>
      <c r="AO28" s="62"/>
      <c r="AP28" s="62"/>
      <c r="AQ28" s="62"/>
      <c r="AR28" s="62"/>
      <c r="AS28" s="62"/>
      <c r="AT28" s="62"/>
      <c r="AU28" s="62"/>
      <c r="AV28" s="62"/>
      <c r="AW28" s="62"/>
      <c r="AX28" s="62"/>
      <c r="AY28" s="62"/>
      <c r="AZ28" s="62"/>
      <c r="BA28" s="62"/>
      <c r="BB28" s="62"/>
      <c r="BC28" s="62"/>
      <c r="BD28" s="62"/>
      <c r="BE28" s="62"/>
      <c r="BF28" s="62"/>
      <c r="BG28" s="62"/>
      <c r="BH28" s="62"/>
      <c r="BI28" s="62"/>
      <c r="BJ28" s="62"/>
      <c r="BK28" s="62"/>
      <c r="BL28" s="62"/>
    </row>
    <row r="29" spans="1:64" s="69" customFormat="1" ht="30" customHeight="1" thickBot="1" x14ac:dyDescent="0.25">
      <c r="A29" s="48"/>
      <c r="B29" s="98" t="s">
        <v>83</v>
      </c>
      <c r="C29" s="99"/>
      <c r="D29" s="100"/>
      <c r="E29" s="101" t="s">
        <v>91</v>
      </c>
      <c r="F29" s="101" t="s">
        <v>91</v>
      </c>
      <c r="G29" s="68"/>
      <c r="H29" s="68" t="e">
        <f t="shared" si="4"/>
        <v>#VALUE!</v>
      </c>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row>
    <row r="30" spans="1:64" s="69" customFormat="1" ht="30" customHeight="1" thickBot="1" x14ac:dyDescent="0.25">
      <c r="A30" s="48"/>
      <c r="B30" s="98" t="s">
        <v>84</v>
      </c>
      <c r="C30" s="99"/>
      <c r="D30" s="100"/>
      <c r="E30" s="101" t="s">
        <v>91</v>
      </c>
      <c r="F30" s="101" t="s">
        <v>91</v>
      </c>
      <c r="G30" s="68"/>
      <c r="H30" s="68" t="e">
        <f t="shared" si="4"/>
        <v>#VALUE!</v>
      </c>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row>
    <row r="31" spans="1:64" s="69" customFormat="1" ht="30" customHeight="1" thickBot="1" x14ac:dyDescent="0.25">
      <c r="A31" s="48"/>
      <c r="B31" s="98" t="s">
        <v>85</v>
      </c>
      <c r="C31" s="99"/>
      <c r="D31" s="100"/>
      <c r="E31" s="101" t="s">
        <v>91</v>
      </c>
      <c r="F31" s="101" t="s">
        <v>91</v>
      </c>
      <c r="G31" s="68"/>
      <c r="H31" s="68" t="e">
        <f t="shared" si="4"/>
        <v>#VALUE!</v>
      </c>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U31" s="62"/>
      <c r="AV31" s="62"/>
      <c r="AW31" s="62"/>
      <c r="AX31" s="62"/>
      <c r="AY31" s="62"/>
      <c r="AZ31" s="62"/>
      <c r="BA31" s="62"/>
      <c r="BB31" s="62"/>
      <c r="BC31" s="62"/>
      <c r="BD31" s="62"/>
      <c r="BE31" s="62"/>
      <c r="BF31" s="62"/>
      <c r="BG31" s="62"/>
      <c r="BH31" s="62"/>
      <c r="BI31" s="62"/>
      <c r="BJ31" s="62"/>
      <c r="BK31" s="62"/>
      <c r="BL31" s="62"/>
    </row>
    <row r="32" spans="1:64" s="69" customFormat="1" ht="30" customHeight="1" thickBot="1" x14ac:dyDescent="0.25">
      <c r="A32" s="48" t="s">
        <v>92</v>
      </c>
      <c r="B32" s="102"/>
      <c r="C32" s="103"/>
      <c r="D32" s="104"/>
      <c r="E32" s="105"/>
      <c r="F32" s="105"/>
      <c r="G32" s="68"/>
      <c r="H32" s="68" t="str">
        <f t="shared" si="4"/>
        <v/>
      </c>
      <c r="I32" s="62"/>
      <c r="J32" s="62"/>
      <c r="K32" s="62"/>
      <c r="L32" s="62"/>
      <c r="M32" s="62"/>
      <c r="N32" s="62"/>
      <c r="O32" s="62"/>
      <c r="P32" s="62"/>
      <c r="Q32" s="62"/>
      <c r="R32" s="62"/>
      <c r="S32" s="62"/>
      <c r="T32" s="62"/>
      <c r="U32" s="62"/>
      <c r="V32" s="62"/>
      <c r="W32" s="62"/>
      <c r="X32" s="62"/>
      <c r="Y32" s="62"/>
      <c r="Z32" s="62"/>
      <c r="AA32" s="62"/>
      <c r="AB32" s="62"/>
      <c r="AC32" s="62"/>
      <c r="AD32" s="62"/>
      <c r="AE32" s="62"/>
      <c r="AF32" s="62"/>
      <c r="AG32" s="62"/>
      <c r="AH32" s="62"/>
      <c r="AI32" s="62"/>
      <c r="AJ32" s="62"/>
      <c r="AK32" s="62"/>
      <c r="AL32" s="62"/>
      <c r="AM32" s="62"/>
      <c r="AN32" s="62"/>
      <c r="AO32" s="62"/>
      <c r="AP32" s="62"/>
      <c r="AQ32" s="62"/>
      <c r="AR32" s="62"/>
      <c r="AS32" s="62"/>
      <c r="AT32" s="62"/>
      <c r="AU32" s="62"/>
      <c r="AV32" s="62"/>
      <c r="AW32" s="62"/>
      <c r="AX32" s="62"/>
      <c r="AY32" s="62"/>
      <c r="AZ32" s="62"/>
      <c r="BA32" s="62"/>
      <c r="BB32" s="62"/>
      <c r="BC32" s="62"/>
      <c r="BD32" s="62"/>
      <c r="BE32" s="62"/>
      <c r="BF32" s="62"/>
      <c r="BG32" s="62"/>
      <c r="BH32" s="62"/>
      <c r="BI32" s="62"/>
      <c r="BJ32" s="62"/>
      <c r="BK32" s="62"/>
      <c r="BL32" s="62"/>
    </row>
    <row r="33" spans="1:64" s="69" customFormat="1" ht="30" customHeight="1" thickBot="1" x14ac:dyDescent="0.25">
      <c r="A33" s="40" t="s">
        <v>93</v>
      </c>
      <c r="B33" s="106" t="s">
        <v>94</v>
      </c>
      <c r="C33" s="107"/>
      <c r="D33" s="108"/>
      <c r="E33" s="109"/>
      <c r="F33" s="110"/>
      <c r="G33" s="111"/>
      <c r="H33" s="111" t="str">
        <f t="shared" si="4"/>
        <v/>
      </c>
      <c r="I33" s="112"/>
      <c r="J33" s="112"/>
      <c r="K33" s="112"/>
      <c r="L33" s="112"/>
      <c r="M33" s="112"/>
      <c r="N33" s="112"/>
      <c r="O33" s="112"/>
      <c r="P33" s="112"/>
      <c r="Q33" s="112"/>
      <c r="R33" s="112"/>
      <c r="S33" s="112"/>
      <c r="T33" s="112"/>
      <c r="U33" s="112"/>
      <c r="V33" s="112"/>
      <c r="W33" s="112"/>
      <c r="X33" s="112"/>
      <c r="Y33" s="112"/>
      <c r="Z33" s="112"/>
      <c r="AA33" s="112"/>
      <c r="AB33" s="112"/>
      <c r="AC33" s="112"/>
      <c r="AD33" s="112"/>
      <c r="AE33" s="112"/>
      <c r="AF33" s="112"/>
      <c r="AG33" s="112"/>
      <c r="AH33" s="112"/>
      <c r="AI33" s="112"/>
      <c r="AJ33" s="112"/>
      <c r="AK33" s="112"/>
      <c r="AL33" s="112"/>
      <c r="AM33" s="112"/>
      <c r="AN33" s="112"/>
      <c r="AO33" s="112"/>
      <c r="AP33" s="112"/>
      <c r="AQ33" s="112"/>
      <c r="AR33" s="112"/>
      <c r="AS33" s="112"/>
      <c r="AT33" s="112"/>
      <c r="AU33" s="112"/>
      <c r="AV33" s="112"/>
      <c r="AW33" s="112"/>
      <c r="AX33" s="112"/>
      <c r="AY33" s="112"/>
      <c r="AZ33" s="112"/>
      <c r="BA33" s="112"/>
      <c r="BB33" s="112"/>
      <c r="BC33" s="112"/>
      <c r="BD33" s="112"/>
      <c r="BE33" s="112"/>
      <c r="BF33" s="112"/>
      <c r="BG33" s="112"/>
      <c r="BH33" s="112"/>
      <c r="BI33" s="112"/>
      <c r="BJ33" s="112"/>
      <c r="BK33" s="112"/>
      <c r="BL33" s="112"/>
    </row>
    <row r="34" spans="1:64" ht="30" customHeight="1" x14ac:dyDescent="0.2">
      <c r="G34" s="113"/>
    </row>
    <row r="35" spans="1:64" ht="30" customHeight="1" x14ac:dyDescent="0.2">
      <c r="C35" s="114"/>
      <c r="F35" s="115"/>
    </row>
    <row r="36" spans="1:64" ht="30" customHeight="1" x14ac:dyDescent="0.2">
      <c r="C36" s="116"/>
    </row>
  </sheetData>
  <mergeCells count="11">
    <mergeCell ref="AD4:AJ4"/>
    <mergeCell ref="AK4:AQ4"/>
    <mergeCell ref="AR4:AX4"/>
    <mergeCell ref="AY4:BE4"/>
    <mergeCell ref="BF4:BL4"/>
    <mergeCell ref="W4:AC4"/>
    <mergeCell ref="C3:D3"/>
    <mergeCell ref="E3:F3"/>
    <mergeCell ref="C4:D4"/>
    <mergeCell ref="I4:O4"/>
    <mergeCell ref="P4:V4"/>
  </mergeCells>
  <conditionalFormatting sqref="D7:D33">
    <cfRule type="dataBar" priority="1">
      <dataBar>
        <cfvo type="num" val="0"/>
        <cfvo type="num" val="1"/>
        <color theme="0" tint="-0.249977111117893"/>
      </dataBar>
      <extLst>
        <ext xmlns:x14="http://schemas.microsoft.com/office/spreadsheetml/2009/9/main" uri="{B025F937-C7B1-47D3-B67F-A62EFF666E3E}">
          <x14:id>{17F8D601-9560-1946-8030-FBF24EB01215}</x14:id>
        </ext>
      </extLst>
    </cfRule>
  </conditionalFormatting>
  <conditionalFormatting sqref="I5:BL33">
    <cfRule type="expression" dxfId="2" priority="4">
      <formula>AND(TODAY()&gt;=I$5,TODAY()&lt;J$5)</formula>
    </cfRule>
  </conditionalFormatting>
  <conditionalFormatting sqref="I7:BL33">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6545ED19-E801-5E44-81F7-104925180817}">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17F8D601-9560-1946-8030-FBF24EB01215}">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Dashboards</vt:lpstr>
      <vt:lpstr>Cash Flow Summary (Bottom-Up)</vt:lpstr>
      <vt:lpstr>Market Sizing (Top Down)</vt:lpstr>
      <vt:lpstr>Product Costing</vt: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LinksUpToDate>false</LinksUpToDate>
  <SharedDoc>false</SharedDoc>
  <HyperlinksChanged>false</HyperlinksChanged>
  <AppVersion>16.0300</AppVersion>
</Properties>
</file>

<file path=docProps/core.xml><?xml version="1.0" encoding="utf-8"?>
<ns0:coreProperties xmlns:ns0="http://schemas.openxmlformats.org/package/2006/metadata/core-properties" xmlns:ns1="http://purl.org/dc/terms/" xmlns:xsi="http://www.w3.org/2001/XMLSchema-instance">
  <ns1:created xsi:type="dcterms:W3CDTF">2021-05-24T02:24:52Z</ns1:created>
  <ns1:modified xsi:type="dcterms:W3CDTF">2022-10-20T07:52:45Z</ns1:modified>
</ns0:coreProperties>
</file>