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Ambient - Ivan/02 Investment Materials/Market Opportunity/"/>
    </mc:Choice>
  </mc:AlternateContent>
  <xr:revisionPtr revIDLastSave="0" documentId="13_ncr:1_{BCD0CB13-D1C2-2E43-9E93-780E8C140C1A}" xr6:coauthVersionLast="47" xr6:coauthVersionMax="47" xr10:uidLastSave="{00000000-0000-0000-0000-000000000000}"/>
  <bookViews>
    <workbookView xWindow="0" yWindow="500" windowWidth="28800" windowHeight="16060" xr2:uid="{E7FD6DE7-42AB-0E4E-A6CA-09A948F8AC9B}"/>
  </bookViews>
  <sheets>
    <sheet name="Summary" sheetId="5" r:id="rId1"/>
    <sheet name="Asia" sheetId="1" r:id="rId2"/>
    <sheet name="Europe" sheetId="3" r:id="rId3"/>
    <sheet name="North Americ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9" i="5" l="1"/>
  <c r="J30" i="5" s="1"/>
  <c r="J28" i="5"/>
  <c r="E16" i="5"/>
  <c r="E14" i="5"/>
  <c r="E15" i="5"/>
  <c r="K16" i="5"/>
  <c r="K24" i="5"/>
  <c r="K14" i="5"/>
  <c r="J24" i="5"/>
  <c r="J23" i="5"/>
  <c r="J22" i="5"/>
  <c r="K23" i="5"/>
  <c r="I23" i="5"/>
  <c r="I24" i="5"/>
  <c r="I22" i="5"/>
  <c r="C16" i="5" l="1"/>
  <c r="C15" i="5"/>
  <c r="C14" i="5"/>
  <c r="C12" i="4"/>
  <c r="C12" i="3"/>
  <c r="C12" i="1"/>
  <c r="C11" i="4"/>
  <c r="D11" i="4" s="1"/>
  <c r="C10" i="4"/>
  <c r="D10" i="4" s="1"/>
  <c r="C9" i="4"/>
  <c r="D9" i="4" s="1"/>
  <c r="C8" i="4"/>
  <c r="D8" i="4" s="1"/>
  <c r="I8" i="4" s="1"/>
  <c r="C7" i="4"/>
  <c r="D7" i="4" s="1"/>
  <c r="C6" i="4"/>
  <c r="D6" i="4" s="1"/>
  <c r="C5" i="4"/>
  <c r="D5" i="4" s="1"/>
  <c r="C4" i="4"/>
  <c r="C3" i="4"/>
  <c r="D3" i="4" s="1"/>
  <c r="C2" i="4"/>
  <c r="D2" i="4" s="1"/>
  <c r="B23" i="4"/>
  <c r="C22" i="4" s="1"/>
  <c r="C18" i="4"/>
  <c r="D4" i="4"/>
  <c r="C10" i="3"/>
  <c r="C11" i="3"/>
  <c r="D11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C2" i="3"/>
  <c r="D2" i="3" s="1"/>
  <c r="B23" i="3"/>
  <c r="C18" i="3" s="1"/>
  <c r="C21" i="3"/>
  <c r="C20" i="3"/>
  <c r="C19" i="3"/>
  <c r="D10" i="3"/>
  <c r="D8" i="1"/>
  <c r="C11" i="1"/>
  <c r="D11" i="1" s="1"/>
  <c r="C10" i="1"/>
  <c r="D10" i="1" s="1"/>
  <c r="C9" i="1"/>
  <c r="D9" i="1" s="1"/>
  <c r="C8" i="1"/>
  <c r="C7" i="1"/>
  <c r="D7" i="1" s="1"/>
  <c r="B23" i="1"/>
  <c r="C19" i="1" s="1"/>
  <c r="C5" i="1"/>
  <c r="D5" i="1" s="1"/>
  <c r="C6" i="1"/>
  <c r="D6" i="1" s="1"/>
  <c r="C4" i="1"/>
  <c r="D4" i="1" s="1"/>
  <c r="C3" i="1"/>
  <c r="D3" i="1" s="1"/>
  <c r="C2" i="1"/>
  <c r="D2" i="1" s="1"/>
  <c r="J14" i="5" l="1"/>
  <c r="I14" i="5"/>
  <c r="J15" i="5"/>
  <c r="I15" i="5"/>
  <c r="I16" i="5"/>
  <c r="J16" i="5"/>
  <c r="C17" i="5"/>
  <c r="D14" i="5"/>
  <c r="D16" i="5"/>
  <c r="D15" i="5"/>
  <c r="C22" i="3"/>
  <c r="I7" i="3" s="1"/>
  <c r="E2" i="3"/>
  <c r="E10" i="3"/>
  <c r="F10" i="3" s="1"/>
  <c r="E4" i="4"/>
  <c r="I7" i="4"/>
  <c r="E8" i="4"/>
  <c r="I4" i="4"/>
  <c r="E9" i="4"/>
  <c r="I9" i="4"/>
  <c r="E10" i="4"/>
  <c r="I10" i="4"/>
  <c r="E2" i="4"/>
  <c r="I2" i="4"/>
  <c r="E3" i="4"/>
  <c r="I3" i="4"/>
  <c r="I5" i="4"/>
  <c r="E5" i="4"/>
  <c r="E11" i="4"/>
  <c r="I11" i="4"/>
  <c r="I6" i="4"/>
  <c r="E6" i="4"/>
  <c r="E7" i="4"/>
  <c r="C19" i="4"/>
  <c r="C20" i="4"/>
  <c r="C21" i="4"/>
  <c r="F2" i="3"/>
  <c r="G2" i="3"/>
  <c r="H2" i="3"/>
  <c r="E4" i="3"/>
  <c r="I4" i="3"/>
  <c r="I5" i="3"/>
  <c r="E5" i="3"/>
  <c r="E11" i="3"/>
  <c r="I11" i="3"/>
  <c r="I6" i="3"/>
  <c r="E6" i="3"/>
  <c r="E8" i="3"/>
  <c r="I8" i="3"/>
  <c r="E9" i="3"/>
  <c r="I9" i="3"/>
  <c r="E3" i="3"/>
  <c r="I3" i="3"/>
  <c r="I2" i="3"/>
  <c r="E7" i="3"/>
  <c r="I7" i="1"/>
  <c r="C21" i="1"/>
  <c r="C18" i="1"/>
  <c r="E4" i="1" s="1"/>
  <c r="C22" i="1"/>
  <c r="I5" i="1" s="1"/>
  <c r="C20" i="1"/>
  <c r="F15" i="5" l="1"/>
  <c r="K15" i="5"/>
  <c r="D17" i="5"/>
  <c r="F16" i="5"/>
  <c r="G16" i="5" s="1"/>
  <c r="K22" i="5"/>
  <c r="K25" i="5" s="1"/>
  <c r="K17" i="5"/>
  <c r="I17" i="5"/>
  <c r="J25" i="5"/>
  <c r="G15" i="5"/>
  <c r="J17" i="5"/>
  <c r="E17" i="5"/>
  <c r="F14" i="5"/>
  <c r="F17" i="5" s="1"/>
  <c r="E8" i="1"/>
  <c r="I10" i="1"/>
  <c r="E10" i="1"/>
  <c r="C23" i="3"/>
  <c r="H10" i="3"/>
  <c r="H4" i="4"/>
  <c r="I8" i="1"/>
  <c r="I11" i="1"/>
  <c r="G10" i="3"/>
  <c r="G4" i="4"/>
  <c r="E11" i="1"/>
  <c r="I10" i="3"/>
  <c r="E9" i="1"/>
  <c r="I12" i="3"/>
  <c r="G17" i="3" s="1"/>
  <c r="E7" i="1"/>
  <c r="I9" i="1"/>
  <c r="G3" i="4"/>
  <c r="F3" i="4"/>
  <c r="H3" i="4"/>
  <c r="C23" i="4"/>
  <c r="G11" i="4"/>
  <c r="F11" i="4"/>
  <c r="H11" i="4"/>
  <c r="H7" i="4"/>
  <c r="G7" i="4"/>
  <c r="F7" i="4"/>
  <c r="H5" i="4"/>
  <c r="G5" i="4"/>
  <c r="F5" i="4"/>
  <c r="F2" i="4"/>
  <c r="G2" i="4"/>
  <c r="H2" i="4"/>
  <c r="F8" i="4"/>
  <c r="G8" i="4"/>
  <c r="F4" i="4"/>
  <c r="F10" i="4"/>
  <c r="G10" i="4"/>
  <c r="H10" i="4"/>
  <c r="I12" i="4"/>
  <c r="G17" i="4" s="1"/>
  <c r="H8" i="4"/>
  <c r="H6" i="4"/>
  <c r="G6" i="4"/>
  <c r="F6" i="4"/>
  <c r="F9" i="4"/>
  <c r="H9" i="4"/>
  <c r="G9" i="4"/>
  <c r="F8" i="3"/>
  <c r="H8" i="3"/>
  <c r="G8" i="3"/>
  <c r="G3" i="3"/>
  <c r="F3" i="3"/>
  <c r="H3" i="3"/>
  <c r="H7" i="3"/>
  <c r="G7" i="3"/>
  <c r="F7" i="3"/>
  <c r="H6" i="3"/>
  <c r="G6" i="3"/>
  <c r="F6" i="3"/>
  <c r="H4" i="3"/>
  <c r="G4" i="3"/>
  <c r="F4" i="3"/>
  <c r="G11" i="3"/>
  <c r="F11" i="3"/>
  <c r="H11" i="3"/>
  <c r="H5" i="3"/>
  <c r="G5" i="3"/>
  <c r="F5" i="3"/>
  <c r="F9" i="3"/>
  <c r="G9" i="3"/>
  <c r="H9" i="3"/>
  <c r="E6" i="1"/>
  <c r="G6" i="1" s="1"/>
  <c r="I6" i="1"/>
  <c r="I4" i="1"/>
  <c r="I3" i="1"/>
  <c r="H4" i="1"/>
  <c r="G4" i="1"/>
  <c r="F4" i="1"/>
  <c r="C23" i="1"/>
  <c r="E3" i="1"/>
  <c r="E5" i="1"/>
  <c r="I2" i="1"/>
  <c r="I12" i="1" s="1"/>
  <c r="G17" i="1" s="1"/>
  <c r="E2" i="1"/>
  <c r="G14" i="5" l="1"/>
  <c r="G17" i="5" s="1"/>
  <c r="F7" i="1"/>
  <c r="F12" i="1" s="1"/>
  <c r="G7" i="1"/>
  <c r="H7" i="1"/>
  <c r="H9" i="1"/>
  <c r="F9" i="1"/>
  <c r="G9" i="1"/>
  <c r="H11" i="1"/>
  <c r="G11" i="1"/>
  <c r="F11" i="1"/>
  <c r="G10" i="1"/>
  <c r="H10" i="1"/>
  <c r="F10" i="1"/>
  <c r="F8" i="1"/>
  <c r="G8" i="1"/>
  <c r="H8" i="1"/>
  <c r="F12" i="4"/>
  <c r="G12" i="4"/>
  <c r="G16" i="4" s="1"/>
  <c r="G18" i="4" s="1"/>
  <c r="H12" i="4"/>
  <c r="G12" i="3"/>
  <c r="G16" i="3" s="1"/>
  <c r="H12" i="3"/>
  <c r="F12" i="3"/>
  <c r="F6" i="1"/>
  <c r="H6" i="1"/>
  <c r="F2" i="1"/>
  <c r="H2" i="1"/>
  <c r="G2" i="1"/>
  <c r="G5" i="1"/>
  <c r="H5" i="1"/>
  <c r="F5" i="1"/>
  <c r="H3" i="1"/>
  <c r="F3" i="1"/>
  <c r="G3" i="1"/>
  <c r="G18" i="3" l="1"/>
  <c r="G19" i="3" s="1"/>
  <c r="H12" i="1"/>
  <c r="G19" i="4"/>
  <c r="G12" i="1"/>
  <c r="G16" i="1" s="1"/>
  <c r="G18" i="1" s="1"/>
  <c r="G19" i="1" s="1"/>
  <c r="G25" i="4" l="1"/>
  <c r="G26" i="4" s="1"/>
</calcChain>
</file>

<file path=xl/sharedStrings.xml><?xml version="1.0" encoding="utf-8"?>
<sst xmlns="http://schemas.openxmlformats.org/spreadsheetml/2006/main" count="129" uniqueCount="80">
  <si>
    <t>Firm</t>
  </si>
  <si>
    <t>HQ</t>
  </si>
  <si>
    <t>AUM in Asia</t>
  </si>
  <si>
    <t>GLP</t>
  </si>
  <si>
    <t>Singapore</t>
  </si>
  <si>
    <t>IGIS Asset Management</t>
  </si>
  <si>
    <t>Seoul, Korea</t>
  </si>
  <si>
    <t>ESR</t>
  </si>
  <si>
    <t>Hong Kong</t>
  </si>
  <si>
    <t>Blackstone</t>
  </si>
  <si>
    <t>New York, USA</t>
  </si>
  <si>
    <t>Brookfield Asset Management</t>
  </si>
  <si>
    <t>Toronto, Canada</t>
  </si>
  <si>
    <t>Management Fee (1.5%)</t>
  </si>
  <si>
    <t>Asset Management Breakdown of Fees</t>
  </si>
  <si>
    <t>Sales &amp; Marketing</t>
  </si>
  <si>
    <t>Investment Management</t>
  </si>
  <si>
    <t>Ops and Tech</t>
  </si>
  <si>
    <t>Legal, Compliance, and Risk</t>
  </si>
  <si>
    <t>Management and Admin</t>
  </si>
  <si>
    <t>Relative Amount</t>
  </si>
  <si>
    <t>Absoolute Amount</t>
  </si>
  <si>
    <t>Asset Management Fee</t>
  </si>
  <si>
    <t>UBS Asset Management</t>
  </si>
  <si>
    <t>Prologis</t>
  </si>
  <si>
    <t>Keppel Capital Holdings</t>
  </si>
  <si>
    <t>CBRE Investment Management</t>
  </si>
  <si>
    <t>Phoenix Property Investors</t>
  </si>
  <si>
    <t>Ops &amp; Tech</t>
  </si>
  <si>
    <t>Management &amp; Admin</t>
  </si>
  <si>
    <t>AUM in Europe</t>
  </si>
  <si>
    <t>Swiss Life Asset Managers</t>
  </si>
  <si>
    <t>AXA IM Alts</t>
  </si>
  <si>
    <t>Deka Immobilien Investment</t>
  </si>
  <si>
    <t>Credit Suisse Asset Management</t>
  </si>
  <si>
    <t>Patrizia</t>
  </si>
  <si>
    <t>Aberdeen Standard Investments</t>
  </si>
  <si>
    <t>Union Inestment</t>
  </si>
  <si>
    <t>PGIM Real Estate</t>
  </si>
  <si>
    <t>Hines</t>
  </si>
  <si>
    <t>Blackstone Group</t>
  </si>
  <si>
    <t>Nuveen Real Estate</t>
  </si>
  <si>
    <t>MetLife Investment Management</t>
  </si>
  <si>
    <t>KKR</t>
  </si>
  <si>
    <t>Principal Real Estate Investors</t>
  </si>
  <si>
    <t>JP Morgan Asset Management</t>
  </si>
  <si>
    <t>Invesco Real Estate</t>
  </si>
  <si>
    <t>Total Tech &amp; Ops Budget</t>
  </si>
  <si>
    <t>20% of the budget</t>
  </si>
  <si>
    <t>Market Sizing</t>
  </si>
  <si>
    <t>Market</t>
  </si>
  <si>
    <t>Assumptions</t>
  </si>
  <si>
    <t>Operating Expense</t>
  </si>
  <si>
    <t>Management Fee</t>
  </si>
  <si>
    <t>AUM</t>
  </si>
  <si>
    <t>Asia (Top 10)</t>
  </si>
  <si>
    <t>Europe (Top 10)</t>
  </si>
  <si>
    <t>North America (Top 10)</t>
  </si>
  <si>
    <t>Commerical Real Estate</t>
  </si>
  <si>
    <t>Annual Return</t>
  </si>
  <si>
    <t>Annual ROI (% Asset Value)</t>
  </si>
  <si>
    <t>Operating Expense (% of annual return)</t>
  </si>
  <si>
    <t>Operating Income</t>
  </si>
  <si>
    <t>Total</t>
  </si>
  <si>
    <t>Asset Lower Bound</t>
  </si>
  <si>
    <t>Asset Upper Bound</t>
  </si>
  <si>
    <t>Climate Impact on Asset Price</t>
  </si>
  <si>
    <t>Climate Risk Impact</t>
  </si>
  <si>
    <t>Climate Impact on Annual Return</t>
  </si>
  <si>
    <t>Annual Return Risk</t>
  </si>
  <si>
    <t>Asset Value Risk</t>
  </si>
  <si>
    <t>Climate Impact</t>
  </si>
  <si>
    <t>Portfolio</t>
  </si>
  <si>
    <t>Ambient</t>
  </si>
  <si>
    <t>Annual Return Losses</t>
  </si>
  <si>
    <t>TAM</t>
  </si>
  <si>
    <t>SAM</t>
  </si>
  <si>
    <t>SOM</t>
  </si>
  <si>
    <t>Number of Asset Manager who are tech-enabled, data-driven, ready for adoption</t>
  </si>
  <si>
    <t>Ambient's Market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</si>
</sst>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.000_);_(&quot;$&quot;* \(#,##0.000\);_(&quot;$&quot;* &quot;-&quot;???_);_(@_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44" fontId="0" fillId="0" borderId="0" xfId="0" applyNumberFormat="1"/>
    <xf numFmtId="44" fontId="0" fillId="0" borderId="1" xfId="1" applyFont="1" applyBorder="1"/>
    <xf numFmtId="44" fontId="0" fillId="0" borderId="1" xfId="0" applyNumberFormat="1" applyBorder="1"/>
    <xf numFmtId="164" fontId="0" fillId="2" borderId="1" xfId="0" applyNumberFormat="1" applyFill="1" applyBorder="1"/>
    <xf numFmtId="165" fontId="2" fillId="0" borderId="1" xfId="2" applyNumberFormat="1" applyFont="1" applyBorder="1"/>
    <xf numFmtId="9" fontId="0" fillId="0" borderId="0" xfId="2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10" fontId="0" fillId="0" borderId="1" xfId="2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44" fontId="2" fillId="0" borderId="0" xfId="1" applyFont="1"/>
    <xf numFmtId="44" fontId="0" fillId="0" borderId="1" xfId="0" applyNumberFormat="1" applyFont="1" applyBorder="1"/>
    <xf numFmtId="44" fontId="2" fillId="0" borderId="0" xfId="0" applyNumberFormat="1" applyFont="1"/>
    <xf numFmtId="0" fontId="2" fillId="0" borderId="0" xfId="0" applyFont="1" applyAlignment="1">
      <alignment horizontal="right"/>
    </xf>
    <xf numFmtId="9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0" fontId="0" fillId="0" borderId="2" xfId="2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44" fontId="0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E6-5841-BA14-98BA32E228E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E6-5841-BA14-98BA32E228E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E6-5841-BA14-98BA32E228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Summary!$B$14:$B$16</c:f>
              <c:strCache>
                <c:ptCount val="3"/>
                <c:pt idx="0">
                  <c:v>Asia (Top 10)</c:v>
                </c:pt>
                <c:pt idx="1">
                  <c:v>Europe (Top 10)</c:v>
                </c:pt>
                <c:pt idx="2">
                  <c:v>North America (Top 10)</c:v>
                </c:pt>
              </c:strCache>
            </c:strRef>
          </c:cat>
          <c:val>
            <c:numRef>
              <c:f>Summary!$G$14:$G$16</c:f>
              <c:numCache>
                <c:formatCode>_("$"* #,##0.00_);_("$"* \(#,##0.00\);_("$"* "-"??_);_(@_)</c:formatCode>
                <c:ptCount val="3"/>
                <c:pt idx="0">
                  <c:v>300000000</c:v>
                </c:pt>
                <c:pt idx="1">
                  <c:v>[redacted].4615402</c:v>
                </c:pt>
                <c:pt idx="2">
                  <c:v>[redacted].9230766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A-5742-BDA7-A9FF8D13B274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812800</xdr:colOff>
      <xdr:row>19</xdr:row>
      <xdr:rowOff>127000</xdr:rowOff>
    </xdr:from>
    <xdr:to>
      <xdr:col>6</xdr:col>
      <xdr:colOff>1244600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49B199-4BB1-4648-9DC1-2753A6C97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E864-4036-874D-ABC2-729AA813F726}">
  <dimension ref="B2:L31"/>
  <sheetViews>
    <sheetView showGridLines="0" tabSelected="1" topLeftCell="B4" workbookViewId="0">
      <selection activeCell="I31" sqref="I31"/>
    </sheetView>
  </sheetViews>
  <sheetFormatPr baseColWidth="10" defaultRowHeight="16" x14ac:dyDescent="0.2"/>
  <cols>
    <col min="2" max="2" width="34.1640625" bestFit="1" customWidth="1"/>
    <col min="3" max="3" width="21.1640625" bestFit="1" customWidth="1"/>
    <col min="4" max="7" width="18.6640625" bestFit="1" customWidth="1"/>
    <col min="8" max="8" width="8.1640625" bestFit="1" customWidth="1"/>
    <col min="9" max="9" width="20.6640625" bestFit="1" customWidth="1"/>
    <col min="10" max="10" width="35.33203125" bestFit="1" customWidth="1"/>
    <col min="11" max="11" width="18.83203125" bestFit="1" customWidth="1"/>
    <col min="12" max="12" width="19.6640625" bestFit="1" customWidth="1"/>
  </cols>
  <sheetData>
    <row r="2" spans="2:11" x14ac:dyDescent="0.2">
      <c r="B2" s="1" t="s">
        <v>49</v>
      </c>
    </row>
    <row r="3" spans="2:11" x14ac:dyDescent="0.2">
      <c r="B3" s="1" t="s">
        <v>58</v>
      </c>
    </row>
    <row r="5" spans="2:11" x14ac:dyDescent="0.2">
      <c r="B5" s="1" t="s">
        <v>51</v>
      </c>
      <c r="C5" s="9"/>
    </row>
    <row r="6" spans="2:11" x14ac:dyDescent="0.2">
      <c r="B6" s="1" t="s">
        <v>72</v>
      </c>
      <c r="C6" s="9"/>
      <c r="E6" s="1" t="s">
        <v>71</v>
      </c>
      <c r="H6" s="1" t="s">
        <v>73</v>
      </c>
    </row>
    <row r="7" spans="2:11" ht="34" x14ac:dyDescent="0.2">
      <c r="B7" s="18" t="s">
        <v>53</v>
      </c>
      <c r="C7" s="13">
        <v>1.4999999999999999E-2</v>
      </c>
      <c r="E7" s="17" t="s">
        <v>66</v>
      </c>
      <c r="F7" s="24">
        <v>0.2</v>
      </c>
      <c r="H7" s="25" t="s">
        <v>76</v>
      </c>
      <c r="I7" s="24">
        <v>0.1</v>
      </c>
      <c r="J7" s="25" t="s">
        <v>78</v>
      </c>
    </row>
    <row r="8" spans="2:11" ht="34" x14ac:dyDescent="0.2">
      <c r="B8" s="19" t="s">
        <v>60</v>
      </c>
      <c r="C8" s="26">
        <v>0.05</v>
      </c>
      <c r="E8" s="17" t="s">
        <v>68</v>
      </c>
      <c r="F8" s="24">
        <v>0.4</v>
      </c>
      <c r="H8" s="11" t="s">
        <v>77</v>
      </c>
      <c r="I8" s="24">
        <v>0.1</v>
      </c>
      <c r="J8" s="11" t="s">
        <v>79</v>
      </c>
    </row>
    <row r="9" spans="2:11" x14ac:dyDescent="0.2">
      <c r="B9" s="18" t="s">
        <v>61</v>
      </c>
      <c r="C9" s="13">
        <v>0.3</v>
      </c>
    </row>
    <row r="11" spans="2:11" x14ac:dyDescent="0.2">
      <c r="B11" s="12"/>
      <c r="C11" s="12"/>
    </row>
    <row r="12" spans="2:11" x14ac:dyDescent="0.2">
      <c r="I12" s="1" t="s">
        <v>67</v>
      </c>
    </row>
    <row r="13" spans="2:11" x14ac:dyDescent="0.2">
      <c r="B13" s="10" t="s">
        <v>50</v>
      </c>
      <c r="C13" s="10" t="s">
        <v>54</v>
      </c>
      <c r="D13" s="10" t="s">
        <v>53</v>
      </c>
      <c r="E13" s="10" t="s">
        <v>59</v>
      </c>
      <c r="F13" s="10" t="s">
        <v>62</v>
      </c>
      <c r="G13" s="10" t="s">
        <v>52</v>
      </c>
      <c r="I13" s="16" t="s">
        <v>64</v>
      </c>
      <c r="J13" s="16" t="s">
        <v>65</v>
      </c>
      <c r="K13" s="16" t="s">
        <v>74</v>
      </c>
    </row>
    <row r="14" spans="2:11" x14ac:dyDescent="0.2">
      <c r="B14" s="27" t="s">
        <v>55</v>
      </c>
      <c r="C14" s="5">
        <f>Asia!C12</f>
        <v>26000000000</v>
      </c>
      <c r="D14" s="5">
        <f>C14*$C$7</f>
        <v>390000000</v>
      </c>
      <c r="E14" s="5">
        <f>C14*$C$8</f>
        <v>1300000000</v>
      </c>
      <c r="F14" s="5">
        <f>E14/(1+$C$9)</f>
        <v>1000000000</v>
      </c>
      <c r="G14" s="5">
        <f>E14-F14</f>
        <v>300000000</v>
      </c>
      <c r="I14" s="5">
        <f>C14*(1-$F$7)</f>
        <v>20800000000</v>
      </c>
      <c r="J14" s="5">
        <f>C14*(1+$F$7)</f>
        <v>31200000000</v>
      </c>
      <c r="K14" s="5">
        <f>E14*$F$8</f>
        <v>520000000</v>
      </c>
    </row>
    <row r="15" spans="2:11" x14ac:dyDescent="0.2">
      <c r="B15" s="27" t="s">
        <v>56</v>
      </c>
      <c r="C15" s="5">
        <f>Europe!C12</f>
        <v>480000000000</v>
      </c>
      <c r="D15" s="5">
        <f t="shared" ref="D15:D16" si="0">C15*$C$7</f>
        <v>[redacted]</v>
      </c>
      <c r="E15" s="5">
        <f>C15*$C$8</f>
        <v>24000000000</v>
      </c>
      <c r="F15" s="5">
        <f t="shared" ref="F15:F16" si="1">E15/(1+$C$9)</f>
        <v>[redacted].53846</v>
      </c>
      <c r="G15" s="5">
        <f t="shared" ref="G15:G16" si="2">E15-F15</f>
        <v>[redacted].4615402</v>
      </c>
      <c r="I15" s="5">
        <f>C15*(1-$F$7)</f>
        <v>384000000000</v>
      </c>
      <c r="J15" s="5">
        <f>C15*(1+$F$7)</f>
        <v>576000000000</v>
      </c>
      <c r="K15" s="5">
        <f>E15*$F$8</f>
        <v>[redacted]</v>
      </c>
    </row>
    <row r="16" spans="2:11" x14ac:dyDescent="0.2">
      <c r="B16" s="27" t="s">
        <v>57</v>
      </c>
      <c r="C16" s="5">
        <f>'North America'!C12</f>
        <v>674000000000</v>
      </c>
      <c r="D16" s="5">
        <f t="shared" si="0"/>
        <v>10110000000</v>
      </c>
      <c r="E16" s="5">
        <f>C16*$C$8</f>
        <v>33700000000</v>
      </c>
      <c r="F16" s="5">
        <f t="shared" si="1"/>
        <v>25923076923.076923</v>
      </c>
      <c r="G16" s="5">
        <f t="shared" si="2"/>
        <v>[redacted].9230766</v>
      </c>
      <c r="I16" s="5">
        <f>C16*(1-$F$7)</f>
        <v>539200000000</v>
      </c>
      <c r="J16" s="5">
        <f>C16*(1+$F$7)</f>
        <v>808800000000</v>
      </c>
      <c r="K16" s="5">
        <f>E16*$F$8</f>
        <v>[redacted]</v>
      </c>
    </row>
    <row r="17" spans="2:12" x14ac:dyDescent="0.2">
      <c r="B17" s="15" t="s">
        <v>63</v>
      </c>
      <c r="C17" s="20">
        <f t="shared" ref="C17:F17" si="3">SUM(C14:C16)</f>
        <v>1180000000000</v>
      </c>
      <c r="D17" s="20">
        <f t="shared" si="3"/>
        <v>[redacted]</v>
      </c>
      <c r="E17" s="20">
        <f t="shared" si="3"/>
        <v>59000000000</v>
      </c>
      <c r="F17" s="20">
        <f t="shared" si="3"/>
        <v>45384615384.615387</v>
      </c>
      <c r="G17" s="20">
        <f>SUM(G14:G16)</f>
        <v>[redacted].384617</v>
      </c>
      <c r="I17" s="20">
        <f t="shared" ref="I17:K17" si="4">SUM(I14:I16)</f>
        <v>944000000000</v>
      </c>
      <c r="J17" s="20">
        <f t="shared" si="4"/>
        <v>1416000000000</v>
      </c>
      <c r="K17" s="20">
        <f t="shared" si="4"/>
        <v>23600000000</v>
      </c>
    </row>
    <row r="21" spans="2:12" x14ac:dyDescent="0.2">
      <c r="J21" s="10" t="s">
        <v>70</v>
      </c>
      <c r="K21" s="10" t="s">
        <v>69</v>
      </c>
      <c r="L21" s="14"/>
    </row>
    <row r="22" spans="2:12" x14ac:dyDescent="0.2">
      <c r="I22" s="23" t="str">
        <f>B14</f>
        <v>Asia (Top 10)</v>
      </c>
      <c r="J22" s="21">
        <f>C14-I14</f>
        <v>[redacted]</v>
      </c>
      <c r="K22" s="6">
        <f>K14</f>
        <v>520000000</v>
      </c>
    </row>
    <row r="23" spans="2:12" x14ac:dyDescent="0.2">
      <c r="I23" s="23" t="str">
        <f t="shared" ref="I23:I24" si="5">B15</f>
        <v>Europe (Top 10)</v>
      </c>
      <c r="J23" s="21">
        <f>C15-I15</f>
        <v>96000000000</v>
      </c>
      <c r="K23" s="6">
        <f>K15</f>
        <v>[redacted]</v>
      </c>
    </row>
    <row r="24" spans="2:12" x14ac:dyDescent="0.2">
      <c r="I24" s="23" t="str">
        <f t="shared" si="5"/>
        <v>North America (Top 10)</v>
      </c>
      <c r="J24" s="21">
        <f>C16-I16</f>
        <v>134800000000</v>
      </c>
      <c r="K24" s="6">
        <f>K16</f>
        <v>[redacted]</v>
      </c>
    </row>
    <row r="25" spans="2:12" x14ac:dyDescent="0.2">
      <c r="J25" s="22">
        <f>SUM(J22:J24)</f>
        <v>236000000000</v>
      </c>
      <c r="K25" s="22">
        <f>SUM(K22:K24)</f>
        <v>23600000000</v>
      </c>
    </row>
    <row r="28" spans="2:12" x14ac:dyDescent="0.2">
      <c r="I28" s="23" t="s">
        <v>75</v>
      </c>
      <c r="J28" s="28">
        <f>SUM(J25:K25)</f>
        <v>259600000000</v>
      </c>
    </row>
    <row r="29" spans="2:12" x14ac:dyDescent="0.2">
      <c r="I29" s="23" t="s">
        <v>76</v>
      </c>
      <c r="J29" s="28">
        <f>J28*I7</f>
        <v>25960000000</v>
      </c>
    </row>
    <row r="30" spans="2:12" x14ac:dyDescent="0.2">
      <c r="I30" s="23" t="s">
        <v>77</v>
      </c>
      <c r="J30" s="28">
        <f>J29*I8</f>
        <v>[redacted]</v>
      </c>
    </row>
    <row r="31" spans="2:12" x14ac:dyDescent="0.2">
      <c r="I31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E4542-F943-0147-B28C-A0D44A0BFD1E}">
  <dimension ref="A1:I28"/>
  <sheetViews>
    <sheetView showGridLines="0" workbookViewId="0">
      <selection activeCell="C23" sqref="C23"/>
    </sheetView>
  </sheetViews>
  <sheetFormatPr baseColWidth="10" defaultRowHeight="16" x14ac:dyDescent="0.2"/>
  <cols>
    <col min="1" max="1" width="34.1640625" bestFit="1" customWidth="1"/>
    <col min="2" max="2" width="16.5" bestFit="1" customWidth="1"/>
    <col min="3" max="3" width="18.6640625" bestFit="1" customWidth="1"/>
    <col min="4" max="4" width="21.83203125" bestFit="1" customWidth="1"/>
    <col min="5" max="5" width="16.5" bestFit="1" customWidth="1"/>
    <col min="6" max="6" width="22.33203125" bestFit="1" customWidth="1"/>
    <col min="7" max="7" width="16" bestFit="1" customWidth="1"/>
    <col min="8" max="8" width="24.33203125" bestFit="1" customWidth="1"/>
    <col min="9" max="9" width="21.8320312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13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  <row r="2" spans="1:9" x14ac:dyDescent="0.2">
      <c r="A2" s="3" t="s">
        <v>3</v>
      </c>
      <c r="B2" s="3" t="s">
        <v>4</v>
      </c>
      <c r="C2" s="5">
        <f>65*10^9</f>
        <v>65000000000</v>
      </c>
      <c r="D2" s="7">
        <f>C2*$B$15</f>
        <v>975000000</v>
      </c>
      <c r="E2" s="6">
        <f>D2*$C$18</f>
        <v>177272727.27272728</v>
      </c>
      <c r="F2" s="6">
        <f>$E2*$C$19</f>
        <v>70506198.34710744</v>
      </c>
      <c r="G2" s="6">
        <f>E2*$C$20</f>
        <v>34245867.76859504</v>
      </c>
      <c r="H2" s="6">
        <f>E2*$C$21</f>
        <v>6043388.[redacted]</v>
      </c>
      <c r="I2" s="6">
        <f>D2*$C$22</f>
        <v>188352272.72727272</v>
      </c>
    </row>
    <row r="3" spans="1:9" x14ac:dyDescent="0.2">
      <c r="A3" s="3" t="s">
        <v>5</v>
      </c>
      <c r="B3" s="3" t="s">
        <v>6</v>
      </c>
      <c r="C3" s="5">
        <f>36*10^9</f>
        <v>36000000000</v>
      </c>
      <c r="D3" s="7">
        <f t="shared" ref="D3:D5" si="0">C3*$B$15</f>
        <v>540000000</v>
      </c>
      <c r="E3" s="6">
        <f t="shared" ref="E3:E5" si="1">D3*$C$18</f>
        <v>98181818.181818187</v>
      </c>
      <c r="F3" s="6">
        <f t="shared" ref="F3:F5" si="2">E3*$C$19</f>
        <v>39049586.776859507</v>
      </c>
      <c r="G3" s="6">
        <f t="shared" ref="G3:G5" si="3">E3*$C$20</f>
        <v>18966942.14876033</v>
      </c>
      <c r="H3" s="6">
        <f t="shared" ref="H3:H5" si="4">E3*$C$21</f>
        <v>3347107.[redacted]</v>
      </c>
      <c r="I3" s="6">
        <f t="shared" ref="I3:I5" si="5">D3*$C$22</f>
        <v>104318181.81818181</v>
      </c>
    </row>
    <row r="4" spans="1:9" x14ac:dyDescent="0.2">
      <c r="A4" s="3" t="s">
        <v>7</v>
      </c>
      <c r="B4" s="3" t="s">
        <v>8</v>
      </c>
      <c r="C4" s="5">
        <f>26*10^9</f>
        <v>26000000000</v>
      </c>
      <c r="D4" s="7">
        <f t="shared" si="0"/>
        <v>390000000</v>
      </c>
      <c r="E4" s="6">
        <f t="shared" si="1"/>
        <v>70909090.909090906</v>
      </c>
      <c r="F4" s="6">
        <f t="shared" si="2"/>
        <v>28202479.338842973</v>
      </c>
      <c r="G4" s="6">
        <f t="shared" si="3"/>
        <v>13698347.107438015</v>
      </c>
      <c r="H4" s="6">
        <f t="shared" si="4"/>
        <v>2417355.[redacted]</v>
      </c>
      <c r="I4" s="6">
        <f t="shared" si="5"/>
        <v>75340909.090909094</v>
      </c>
    </row>
    <row r="5" spans="1:9" x14ac:dyDescent="0.2">
      <c r="A5" s="3" t="s">
        <v>9</v>
      </c>
      <c r="B5" s="3" t="s">
        <v>10</v>
      </c>
      <c r="C5" s="5">
        <f t="shared" ref="C5:C6" si="6">26*10^9</f>
        <v>26000000000</v>
      </c>
      <c r="D5" s="7">
        <f t="shared" si="0"/>
        <v>390000000</v>
      </c>
      <c r="E5" s="6">
        <f t="shared" si="1"/>
        <v>70909090.909090906</v>
      </c>
      <c r="F5" s="6">
        <f t="shared" si="2"/>
        <v>28202479.338842973</v>
      </c>
      <c r="G5" s="6">
        <f t="shared" si="3"/>
        <v>13698347.107438015</v>
      </c>
      <c r="H5" s="6">
        <f t="shared" si="4"/>
        <v>2417355.[redacted]</v>
      </c>
      <c r="I5" s="6">
        <f t="shared" si="5"/>
        <v>75340909.090909094</v>
      </c>
    </row>
    <row r="6" spans="1:9" x14ac:dyDescent="0.2">
      <c r="A6" s="3" t="s">
        <v>11</v>
      </c>
      <c r="B6" s="3" t="s">
        <v>12</v>
      </c>
      <c r="C6" s="5">
        <f t="shared" si="6"/>
        <v>26000000000</v>
      </c>
      <c r="D6" s="7">
        <f>C6*$B$15</f>
        <v>390000000</v>
      </c>
      <c r="E6" s="6">
        <f>D6*$C$18</f>
        <v>70909090.909090906</v>
      </c>
      <c r="F6" s="6">
        <f>E6*$C$19</f>
        <v>28202479.338842973</v>
      </c>
      <c r="G6" s="6">
        <f>E6*$C$20</f>
        <v>13698347.107438015</v>
      </c>
      <c r="H6" s="6">
        <f>E6*$C$21</f>
        <v>2417355.[redacted]</v>
      </c>
      <c r="I6" s="6">
        <f>D6*$C$22</f>
        <v>75340909.090909094</v>
      </c>
    </row>
    <row r="7" spans="1:9" x14ac:dyDescent="0.2">
      <c r="A7" s="3" t="s">
        <v>23</v>
      </c>
      <c r="B7" s="3"/>
      <c r="C7" s="5">
        <f>23*10^9</f>
        <v>23000000000</v>
      </c>
      <c r="D7" s="7">
        <f t="shared" ref="D7:D11" si="7">C7*$B$15</f>
        <v>345000000</v>
      </c>
      <c r="E7" s="6">
        <f>D7*$C$18</f>
        <v>62727272.727272727</v>
      </c>
      <c r="F7" s="6">
        <f>E7*$C$19</f>
        <v>24948347.107438017</v>
      </c>
      <c r="G7" s="6">
        <f>E7*$C$20</f>
        <v>12117768.595041322</v>
      </c>
      <c r="H7" s="6">
        <f>E7*$C$21</f>
        <v>2138429.[redacted]</v>
      </c>
      <c r="I7" s="6">
        <f>D7*$C$22</f>
        <v>66647727.272727273</v>
      </c>
    </row>
    <row r="8" spans="1:9" x14ac:dyDescent="0.2">
      <c r="A8" s="3" t="s">
        <v>24</v>
      </c>
      <c r="B8" s="3"/>
      <c r="C8" s="5">
        <f>13*10^9</f>
        <v>[redacted]</v>
      </c>
      <c r="D8" s="7">
        <f t="shared" si="7"/>
        <v>195000000</v>
      </c>
      <c r="E8" s="6">
        <f t="shared" ref="E8:E11" si="8">D8*$C$18</f>
        <v>35454545.454545453</v>
      </c>
      <c r="F8" s="6">
        <f t="shared" ref="F8:F11" si="9">E8*$C$19</f>
        <v>14101239.669421487</v>
      </c>
      <c r="G8" s="6">
        <f t="shared" ref="G8:G11" si="10">E8*$C$20</f>
        <v>6849173.[redacted]</v>
      </c>
      <c r="H8" s="6">
        <f t="shared" ref="H8:H11" si="11">E8*$C$21</f>
        <v>1208677.[redacted]</v>
      </c>
      <c r="I8" s="6">
        <f t="shared" ref="I8:I11" si="12">D8*$C$22</f>
        <v>37670454.545454547</v>
      </c>
    </row>
    <row r="9" spans="1:9" x14ac:dyDescent="0.2">
      <c r="A9" s="3" t="s">
        <v>25</v>
      </c>
      <c r="B9" s="3"/>
      <c r="C9" s="5">
        <f>13*10^9</f>
        <v>[redacted]</v>
      </c>
      <c r="D9" s="7">
        <f t="shared" si="7"/>
        <v>195000000</v>
      </c>
      <c r="E9" s="6">
        <f t="shared" si="8"/>
        <v>35454545.454545453</v>
      </c>
      <c r="F9" s="6">
        <f t="shared" si="9"/>
        <v>14101239.669421487</v>
      </c>
      <c r="G9" s="6">
        <f t="shared" si="10"/>
        <v>6849173.[redacted]</v>
      </c>
      <c r="H9" s="6">
        <f t="shared" si="11"/>
        <v>1208677.[redacted]</v>
      </c>
      <c r="I9" s="6">
        <f t="shared" si="12"/>
        <v>37670454.545454547</v>
      </c>
    </row>
    <row r="10" spans="1:9" x14ac:dyDescent="0.2">
      <c r="A10" s="3" t="s">
        <v>26</v>
      </c>
      <c r="B10" s="3"/>
      <c r="C10" s="5">
        <f>13*10^9</f>
        <v>[redacted]</v>
      </c>
      <c r="D10" s="7">
        <f t="shared" si="7"/>
        <v>195000000</v>
      </c>
      <c r="E10" s="6">
        <f t="shared" si="8"/>
        <v>35454545.454545453</v>
      </c>
      <c r="F10" s="6">
        <f t="shared" si="9"/>
        <v>14101239.669421487</v>
      </c>
      <c r="G10" s="6">
        <f t="shared" si="10"/>
        <v>6849173.[redacted]</v>
      </c>
      <c r="H10" s="6">
        <f t="shared" si="11"/>
        <v>1208677.[redacted]</v>
      </c>
      <c r="I10" s="6">
        <f t="shared" si="12"/>
        <v>37670454.545454547</v>
      </c>
    </row>
    <row r="11" spans="1:9" x14ac:dyDescent="0.2">
      <c r="A11" s="3" t="s">
        <v>27</v>
      </c>
      <c r="B11" s="3"/>
      <c r="C11" s="5">
        <f>12*10^9</f>
        <v>[redacted]</v>
      </c>
      <c r="D11" s="7">
        <f t="shared" si="7"/>
        <v>180000000</v>
      </c>
      <c r="E11" s="6">
        <f t="shared" si="8"/>
        <v>32727272.727272727</v>
      </c>
      <c r="F11" s="6">
        <f t="shared" si="9"/>
        <v>13016528.925619833</v>
      </c>
      <c r="G11" s="6">
        <f t="shared" si="10"/>
        <v>6322314.0495867766</v>
      </c>
      <c r="H11" s="6">
        <f t="shared" si="11"/>
        <v>1115702.[redacted]</v>
      </c>
      <c r="I11" s="6">
        <f t="shared" si="12"/>
        <v>34772727.272727273</v>
      </c>
    </row>
    <row r="12" spans="1:9" x14ac:dyDescent="0.2">
      <c r="C12" s="4">
        <f>SUM(C6)</f>
        <v>26000000000</v>
      </c>
      <c r="F12" s="4">
        <f>SUM(F2:F7)</f>
        <v>219111570.24793392</v>
      </c>
      <c r="G12" s="4">
        <f>SUM(G2:G7)</f>
        <v>106425619.83471073</v>
      </c>
      <c r="H12" s="4">
        <f>SUM(H2:H7)</f>
        <v>18780991.73553719</v>
      </c>
      <c r="I12" s="4">
        <f>SUM(I2:I7)</f>
        <v>585340909.09090912</v>
      </c>
    </row>
    <row r="15" spans="1:9" x14ac:dyDescent="0.2">
      <c r="A15" s="2" t="s">
        <v>22</v>
      </c>
      <c r="B15" s="8">
        <v>1.4999999999999999E-2</v>
      </c>
    </row>
    <row r="16" spans="1:9" x14ac:dyDescent="0.2">
      <c r="F16" t="s">
        <v>28</v>
      </c>
      <c r="G16" s="4">
        <f>G12</f>
        <v>106425619.83471073</v>
      </c>
    </row>
    <row r="17" spans="1:7" x14ac:dyDescent="0.2">
      <c r="A17" s="2" t="s">
        <v>14</v>
      </c>
      <c r="B17" s="11" t="s">
        <v>21</v>
      </c>
      <c r="C17" s="11" t="s">
        <v>20</v>
      </c>
      <c r="F17" t="s">
        <v>29</v>
      </c>
      <c r="G17" s="4">
        <f>I12</f>
        <v>585340909.09090912</v>
      </c>
    </row>
    <row r="18" spans="1:7" x14ac:dyDescent="0.2">
      <c r="A18" s="2" t="s">
        <v>15</v>
      </c>
      <c r="B18" s="11">
        <v>16</v>
      </c>
      <c r="C18" s="13">
        <f>B18/$B$23</f>
        <v>0.18181818181818182</v>
      </c>
      <c r="G18" s="4">
        <f>SUM(G16:G17)</f>
        <v>691766528.92561984</v>
      </c>
    </row>
    <row r="19" spans="1:7" x14ac:dyDescent="0.2">
      <c r="A19" s="2" t="s">
        <v>16</v>
      </c>
      <c r="B19" s="11">
        <v>35</v>
      </c>
      <c r="C19" s="13">
        <f t="shared" ref="C19:C22" si="13">B19/$B$23</f>
        <v>0.39772727272727271</v>
      </c>
      <c r="G19" s="4">
        <f>G18*0.2</f>
        <v>138353305.78512397</v>
      </c>
    </row>
    <row r="20" spans="1:7" x14ac:dyDescent="0.2">
      <c r="A20" s="2" t="s">
        <v>17</v>
      </c>
      <c r="B20" s="11">
        <v>17</v>
      </c>
      <c r="C20" s="13">
        <f t="shared" si="13"/>
        <v>0.19318181818181818</v>
      </c>
    </row>
    <row r="21" spans="1:7" x14ac:dyDescent="0.2">
      <c r="A21" s="2" t="s">
        <v>18</v>
      </c>
      <c r="B21" s="11">
        <v>3</v>
      </c>
      <c r="C21" s="13">
        <f t="shared" si="13"/>
        <v>3.4090909090909088E-2</v>
      </c>
    </row>
    <row r="22" spans="1:7" x14ac:dyDescent="0.2">
      <c r="A22" s="2" t="s">
        <v>19</v>
      </c>
      <c r="B22" s="11">
        <v>17</v>
      </c>
      <c r="C22" s="13">
        <f t="shared" si="13"/>
        <v>0.19318181818181818</v>
      </c>
    </row>
    <row r="23" spans="1:7" x14ac:dyDescent="0.2">
      <c r="B23" s="14">
        <f>SUM(B18:B22)</f>
        <v>88</v>
      </c>
      <c r="C23" s="14">
        <f>SUM(C18:C22)</f>
        <v>1</v>
      </c>
    </row>
    <row r="28" spans="1:7" ht="1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550B-C001-BF45-9A47-1CA34E1F25C2}">
  <dimension ref="A1:I28"/>
  <sheetViews>
    <sheetView showGridLines="0" workbookViewId="0">
      <selection activeCell="B17" sqref="B17:C23"/>
    </sheetView>
  </sheetViews>
  <sheetFormatPr baseColWidth="10" defaultRowHeight="16" x14ac:dyDescent="0.2"/>
  <cols>
    <col min="1" max="1" width="34.1640625" bestFit="1" customWidth="1"/>
    <col min="2" max="2" width="16.5" bestFit="1" customWidth="1"/>
    <col min="3" max="3" width="19.6640625" bestFit="1" customWidth="1"/>
    <col min="4" max="4" width="21.83203125" bestFit="1" customWidth="1"/>
    <col min="5" max="5" width="16.5" bestFit="1" customWidth="1"/>
    <col min="6" max="6" width="22.33203125" bestFit="1" customWidth="1"/>
    <col min="7" max="7" width="17.6640625" bestFit="1" customWidth="1"/>
    <col min="8" max="8" width="24.33203125" bestFit="1" customWidth="1"/>
    <col min="9" max="9" width="21.83203125" bestFit="1" customWidth="1"/>
  </cols>
  <sheetData>
    <row r="1" spans="1:9" x14ac:dyDescent="0.2">
      <c r="A1" s="2" t="s">
        <v>0</v>
      </c>
      <c r="B1" s="2"/>
      <c r="C1" s="2" t="s">
        <v>30</v>
      </c>
      <c r="D1" s="2" t="s">
        <v>13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  <row r="2" spans="1:9" x14ac:dyDescent="0.2">
      <c r="A2" s="3" t="s">
        <v>31</v>
      </c>
      <c r="B2" s="3"/>
      <c r="C2" s="5">
        <f>119*10^9</f>
        <v>119000000000</v>
      </c>
      <c r="D2" s="7">
        <f>C2*$B$15</f>
        <v>1785000000</v>
      </c>
      <c r="E2" s="6">
        <f>D2*$C$18</f>
        <v>324545454.54545456</v>
      </c>
      <c r="F2" s="6">
        <f>$E2*$C$19</f>
        <v>129080578.51239669</v>
      </c>
      <c r="G2" s="6">
        <f>E2*$C$20</f>
        <v>62696280.99173554</v>
      </c>
      <c r="H2" s="6">
        <f>E2*$C$21</f>
        <v>11064049.58677686</v>
      </c>
      <c r="I2" s="6">
        <f>D2*$C$22</f>
        <v>344829545.45454544</v>
      </c>
    </row>
    <row r="3" spans="1:9" x14ac:dyDescent="0.2">
      <c r="A3" s="3" t="s">
        <v>32</v>
      </c>
      <c r="B3" s="3"/>
      <c r="C3" s="5">
        <f>99*10^9</f>
        <v>99000000000</v>
      </c>
      <c r="D3" s="7">
        <f t="shared" ref="D3:D5" si="0">C3*$B$15</f>
        <v>1485000000</v>
      </c>
      <c r="E3" s="6">
        <f t="shared" ref="E3:E5" si="1">D3*$C$18</f>
        <v>270000000</v>
      </c>
      <c r="F3" s="6">
        <f t="shared" ref="F3:F5" si="2">E3*$C$19</f>
        <v>107386363.63636363</v>
      </c>
      <c r="G3" s="6">
        <f t="shared" ref="G3:G5" si="3">E3*$C$20</f>
        <v>52159090.909090906</v>
      </c>
      <c r="H3" s="6">
        <f t="shared" ref="H3:H5" si="4">E3*$C$21</f>
        <v>9204545.[redacted]</v>
      </c>
      <c r="I3" s="6">
        <f t="shared" ref="I3:I5" si="5">D3*$C$22</f>
        <v>286875000</v>
      </c>
    </row>
    <row r="4" spans="1:9" x14ac:dyDescent="0.2">
      <c r="A4" s="3" t="s">
        <v>9</v>
      </c>
      <c r="B4" s="3"/>
      <c r="C4" s="5">
        <f>80*10^9</f>
        <v>80000000000</v>
      </c>
      <c r="D4" s="7">
        <f t="shared" si="0"/>
        <v>1200000000</v>
      </c>
      <c r="E4" s="6">
        <f t="shared" si="1"/>
        <v>218181818.18181819</v>
      </c>
      <c r="F4" s="6">
        <f t="shared" si="2"/>
        <v>86776859.504132226</v>
      </c>
      <c r="G4" s="6">
        <f t="shared" si="3"/>
        <v>42148760.330578513</v>
      </c>
      <c r="H4" s="6">
        <f t="shared" si="4"/>
        <v>7438016.[redacted]</v>
      </c>
      <c r="I4" s="6">
        <f t="shared" si="5"/>
        <v>231818181.81818181</v>
      </c>
    </row>
    <row r="5" spans="1:9" x14ac:dyDescent="0.2">
      <c r="A5" s="3" t="s">
        <v>26</v>
      </c>
      <c r="B5" s="3"/>
      <c r="C5" s="5">
        <f>69*10^9</f>
        <v>69000000000</v>
      </c>
      <c r="D5" s="7">
        <f t="shared" si="0"/>
        <v>1035000000</v>
      </c>
      <c r="E5" s="6">
        <f t="shared" si="1"/>
        <v>188181818.18181819</v>
      </c>
      <c r="F5" s="6">
        <f t="shared" si="2"/>
        <v>74845041.322314054</v>
      </c>
      <c r="G5" s="6">
        <f t="shared" si="3"/>
        <v>36353305.785123967</v>
      </c>
      <c r="H5" s="6">
        <f t="shared" si="4"/>
        <v>6415289.[redacted]</v>
      </c>
      <c r="I5" s="6">
        <f t="shared" si="5"/>
        <v>199943181.81818181</v>
      </c>
    </row>
    <row r="6" spans="1:9" x14ac:dyDescent="0.2">
      <c r="A6" s="3" t="s">
        <v>33</v>
      </c>
      <c r="B6" s="3"/>
      <c r="C6" s="5">
        <f>57*10^9</f>
        <v>57000000000</v>
      </c>
      <c r="D6" s="7">
        <f>C6*$B$15</f>
        <v>855000000</v>
      </c>
      <c r="E6" s="6">
        <f>D6*$C$18</f>
        <v>155454545.45454547</v>
      </c>
      <c r="F6" s="6">
        <f>E6*$C$19</f>
        <v>61828512.396694221</v>
      </c>
      <c r="G6" s="6">
        <f>E6*$C$20</f>
        <v>30030991.735537194</v>
      </c>
      <c r="H6" s="6">
        <f>E6*$C$21</f>
        <v>5299586.[redacted]</v>
      </c>
      <c r="I6" s="6">
        <f>D6*$C$22</f>
        <v>165170454.54545453</v>
      </c>
    </row>
    <row r="7" spans="1:9" x14ac:dyDescent="0.2">
      <c r="A7" s="3" t="s">
        <v>34</v>
      </c>
      <c r="B7" s="3"/>
      <c r="C7" s="5">
        <f>56*10^9</f>
        <v>56000000000</v>
      </c>
      <c r="D7" s="7">
        <f t="shared" ref="D7:D11" si="6">C7*$B$15</f>
        <v>840000000</v>
      </c>
      <c r="E7" s="6">
        <f>D7*$C$18</f>
        <v>152727272.72727272</v>
      </c>
      <c r="F7" s="6">
        <f>E7*$C$19</f>
        <v>60743801.652892552</v>
      </c>
      <c r="G7" s="6">
        <f>E7*$C$20</f>
        <v>29504132.231404956</v>
      </c>
      <c r="H7" s="6">
        <f>E7*$C$21</f>
        <v>5206611.[redacted]</v>
      </c>
      <c r="I7" s="6">
        <f>D7*$C$22</f>
        <v>162272727.27272728</v>
      </c>
    </row>
    <row r="8" spans="1:9" x14ac:dyDescent="0.2">
      <c r="A8" s="3" t="s">
        <v>35</v>
      </c>
      <c r="B8" s="3"/>
      <c r="C8" s="5">
        <f>52*10^9</f>
        <v>52000000000</v>
      </c>
      <c r="D8" s="7">
        <f t="shared" si="6"/>
        <v>780000000</v>
      </c>
      <c r="E8" s="6">
        <f t="shared" ref="E8:E11" si="7">D8*$C$18</f>
        <v>141818181.81818181</v>
      </c>
      <c r="F8" s="6">
        <f t="shared" ref="F8:F11" si="8">E8*$C$19</f>
        <v>56404958.677685946</v>
      </c>
      <c r="G8" s="6">
        <f t="shared" ref="G8:G11" si="9">E8*$C$20</f>
        <v>27396694.21487603</v>
      </c>
      <c r="H8" s="6">
        <f t="shared" ref="H8:H11" si="10">E8*$C$21</f>
        <v>4834710.[redacted]</v>
      </c>
      <c r="I8" s="6">
        <f t="shared" ref="I8:I11" si="11">D8*$C$22</f>
        <v>150681818.18181819</v>
      </c>
    </row>
    <row r="9" spans="1:9" x14ac:dyDescent="0.2">
      <c r="A9" s="3" t="s">
        <v>36</v>
      </c>
      <c r="B9" s="3"/>
      <c r="C9" s="5">
        <f>48*10^9</f>
        <v>48000000000</v>
      </c>
      <c r="D9" s="7">
        <f t="shared" si="6"/>
        <v>720000000</v>
      </c>
      <c r="E9" s="6">
        <f t="shared" si="7"/>
        <v>130909090.90909091</v>
      </c>
      <c r="F9" s="6">
        <f t="shared" si="8"/>
        <v>52066115.702479333</v>
      </c>
      <c r="G9" s="6">
        <f t="shared" si="9"/>
        <v>25289256.198347107</v>
      </c>
      <c r="H9" s="6">
        <f t="shared" si="10"/>
        <v>4462809.[redacted]</v>
      </c>
      <c r="I9" s="6">
        <f t="shared" si="11"/>
        <v>139090909.09090909</v>
      </c>
    </row>
    <row r="10" spans="1:9" x14ac:dyDescent="0.2">
      <c r="A10" s="3" t="s">
        <v>37</v>
      </c>
      <c r="B10" s="3"/>
      <c r="C10" s="5">
        <f>48*10^9</f>
        <v>48000000000</v>
      </c>
      <c r="D10" s="7">
        <f t="shared" si="6"/>
        <v>720000000</v>
      </c>
      <c r="E10" s="6">
        <f t="shared" si="7"/>
        <v>130909090.90909091</v>
      </c>
      <c r="F10" s="6">
        <f t="shared" si="8"/>
        <v>52066115.702479333</v>
      </c>
      <c r="G10" s="6">
        <f t="shared" si="9"/>
        <v>25289256.198347107</v>
      </c>
      <c r="H10" s="6">
        <f t="shared" si="10"/>
        <v>4462809.[redacted]</v>
      </c>
      <c r="I10" s="6">
        <f t="shared" si="11"/>
        <v>139090909.09090909</v>
      </c>
    </row>
    <row r="11" spans="1:9" x14ac:dyDescent="0.2">
      <c r="A11" s="3" t="s">
        <v>23</v>
      </c>
      <c r="B11" s="3"/>
      <c r="C11" s="5">
        <f>48*10^9</f>
        <v>48000000000</v>
      </c>
      <c r="D11" s="7">
        <f t="shared" si="6"/>
        <v>720000000</v>
      </c>
      <c r="E11" s="6">
        <f t="shared" si="7"/>
        <v>130909090.90909091</v>
      </c>
      <c r="F11" s="6">
        <f t="shared" si="8"/>
        <v>52066115.702479333</v>
      </c>
      <c r="G11" s="6">
        <f t="shared" si="9"/>
        <v>25289256.198347107</v>
      </c>
      <c r="H11" s="6">
        <f t="shared" si="10"/>
        <v>4462809.[redacted]</v>
      </c>
      <c r="I11" s="6">
        <f t="shared" si="11"/>
        <v>139090909.09090909</v>
      </c>
    </row>
    <row r="12" spans="1:9" x14ac:dyDescent="0.2">
      <c r="C12" s="4">
        <f>SUM(C2:C7)</f>
        <v>480000000000</v>
      </c>
      <c r="F12" s="4">
        <f>SUM(F2:F7)</f>
        <v>520661157.02479339</v>
      </c>
      <c r="G12" s="4">
        <f>SUM(G2:G7)</f>
        <v>252892561.9834711</v>
      </c>
      <c r="H12" s="4">
        <f>SUM(H2:H7)</f>
        <v>44628099.17355372</v>
      </c>
      <c r="I12" s="4">
        <f>SUM(I2:I7)</f>
        <v>1390909090.9090908</v>
      </c>
    </row>
    <row r="15" spans="1:9" x14ac:dyDescent="0.2">
      <c r="A15" s="2" t="s">
        <v>22</v>
      </c>
      <c r="B15" s="8">
        <v>1.4999999999999999E-2</v>
      </c>
    </row>
    <row r="16" spans="1:9" x14ac:dyDescent="0.2">
      <c r="F16" t="s">
        <v>28</v>
      </c>
      <c r="G16" s="4">
        <f>G12</f>
        <v>252892561.9834711</v>
      </c>
    </row>
    <row r="17" spans="1:7" x14ac:dyDescent="0.2">
      <c r="A17" s="2" t="s">
        <v>14</v>
      </c>
      <c r="B17" s="11" t="s">
        <v>21</v>
      </c>
      <c r="C17" s="11" t="s">
        <v>20</v>
      </c>
      <c r="F17" t="s">
        <v>29</v>
      </c>
      <c r="G17" s="4">
        <f>I12</f>
        <v>1390909090.9090908</v>
      </c>
    </row>
    <row r="18" spans="1:7" x14ac:dyDescent="0.2">
      <c r="A18" s="2" t="s">
        <v>15</v>
      </c>
      <c r="B18" s="11">
        <v>16</v>
      </c>
      <c r="C18" s="13">
        <f>B18/$B$23</f>
        <v>0.18181818181818182</v>
      </c>
      <c r="G18" s="4">
        <f>SUM(G16:G17)</f>
        <v>1643801652.8925619</v>
      </c>
    </row>
    <row r="19" spans="1:7" x14ac:dyDescent="0.2">
      <c r="A19" s="2" t="s">
        <v>16</v>
      </c>
      <c r="B19" s="11">
        <v>35</v>
      </c>
      <c r="C19" s="13">
        <f t="shared" ref="C19:C22" si="12">B19/$B$23</f>
        <v>0.39772727272727271</v>
      </c>
      <c r="G19" s="4">
        <f>G18*0.2</f>
        <v>328760330.57851243</v>
      </c>
    </row>
    <row r="20" spans="1:7" x14ac:dyDescent="0.2">
      <c r="A20" s="2" t="s">
        <v>17</v>
      </c>
      <c r="B20" s="11">
        <v>17</v>
      </c>
      <c r="C20" s="13">
        <f t="shared" si="12"/>
        <v>0.19318181818181818</v>
      </c>
    </row>
    <row r="21" spans="1:7" x14ac:dyDescent="0.2">
      <c r="A21" s="2" t="s">
        <v>18</v>
      </c>
      <c r="B21" s="11">
        <v>3</v>
      </c>
      <c r="C21" s="13">
        <f t="shared" si="12"/>
        <v>3.4090909090909088E-2</v>
      </c>
    </row>
    <row r="22" spans="1:7" x14ac:dyDescent="0.2">
      <c r="A22" s="2" t="s">
        <v>19</v>
      </c>
      <c r="B22" s="11">
        <v>17</v>
      </c>
      <c r="C22" s="13">
        <f t="shared" si="12"/>
        <v>0.19318181818181818</v>
      </c>
    </row>
    <row r="23" spans="1:7" x14ac:dyDescent="0.2">
      <c r="B23" s="14">
        <f>SUM(B18:B22)</f>
        <v>88</v>
      </c>
      <c r="C23" s="14">
        <f>SUM(C18:C22)</f>
        <v>1</v>
      </c>
    </row>
    <row r="28" spans="1:7" ht="1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9276-42F9-E440-BE93-A2EE6123F8E9}">
  <dimension ref="A1:I28"/>
  <sheetViews>
    <sheetView showGridLines="0" workbookViewId="0">
      <selection activeCell="D23" sqref="D23"/>
    </sheetView>
  </sheetViews>
  <sheetFormatPr baseColWidth="10" defaultRowHeight="16" x14ac:dyDescent="0.2"/>
  <cols>
    <col min="1" max="1" width="34.1640625" bestFit="1" customWidth="1"/>
    <col min="2" max="2" width="16.5" bestFit="1" customWidth="1"/>
    <col min="3" max="3" width="19.6640625" bestFit="1" customWidth="1"/>
    <col min="4" max="4" width="21.83203125" bestFit="1" customWidth="1"/>
    <col min="5" max="5" width="16.5" bestFit="1" customWidth="1"/>
    <col min="6" max="6" width="22.33203125" bestFit="1" customWidth="1"/>
    <col min="7" max="7" width="17.6640625" bestFit="1" customWidth="1"/>
    <col min="8" max="8" width="24.33203125" bestFit="1" customWidth="1"/>
    <col min="9" max="9" width="21.83203125" bestFit="1" customWidth="1"/>
  </cols>
  <sheetData>
    <row r="1" spans="1:9" x14ac:dyDescent="0.2">
      <c r="A1" s="2" t="s">
        <v>0</v>
      </c>
      <c r="B1" s="2"/>
      <c r="C1" s="2" t="s">
        <v>30</v>
      </c>
      <c r="D1" s="2" t="s">
        <v>13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  <row r="2" spans="1:9" x14ac:dyDescent="0.2">
      <c r="A2" s="3" t="s">
        <v>11</v>
      </c>
      <c r="B2" s="3"/>
      <c r="C2" s="5">
        <f>149*10^9</f>
        <v>149000000000</v>
      </c>
      <c r="D2" s="7">
        <f>C2*$B$15</f>
        <v>[redacted]</v>
      </c>
      <c r="E2" s="6">
        <f>D2*$C$18</f>
        <v>406363636.36363637</v>
      </c>
      <c r="F2" s="6">
        <f>$E2*$C$19</f>
        <v>161621900.82644626</v>
      </c>
      <c r="G2" s="6">
        <f>E2*$C$20</f>
        <v>78502066.11570248</v>
      </c>
      <c r="H2" s="6">
        <f>E2*$C$21</f>
        <v>13853305.785123967</v>
      </c>
      <c r="I2" s="6">
        <f>D2*$C$22</f>
        <v>431761363.63636363</v>
      </c>
    </row>
    <row r="3" spans="1:9" x14ac:dyDescent="0.2">
      <c r="A3" s="3" t="s">
        <v>38</v>
      </c>
      <c r="B3" s="3"/>
      <c r="C3" s="5">
        <f>120*10^9</f>
        <v>120000000000</v>
      </c>
      <c r="D3" s="7">
        <f t="shared" ref="D3:D5" si="0">C3*$B$15</f>
        <v>1800000000</v>
      </c>
      <c r="E3" s="6">
        <f t="shared" ref="E3:E5" si="1">D3*$C$18</f>
        <v>327272727.27272731</v>
      </c>
      <c r="F3" s="6">
        <f t="shared" ref="F3:F5" si="2">E3*$C$19</f>
        <v>130165289.25619836</v>
      </c>
      <c r="G3" s="6">
        <f t="shared" ref="G3:G5" si="3">E3*$C$20</f>
        <v>63223140.495867774</v>
      </c>
      <c r="H3" s="6">
        <f t="shared" ref="H3:H5" si="4">E3*$C$21</f>
        <v>11157024.79338843</v>
      </c>
      <c r="I3" s="6">
        <f t="shared" ref="I3:I5" si="5">D3*$C$22</f>
        <v>347727272.72727269</v>
      </c>
    </row>
    <row r="4" spans="1:9" x14ac:dyDescent="0.2">
      <c r="A4" s="3" t="s">
        <v>39</v>
      </c>
      <c r="B4" s="3"/>
      <c r="C4" s="5">
        <f>118*10^9</f>
        <v>118000000000</v>
      </c>
      <c r="D4" s="7">
        <f t="shared" si="0"/>
        <v>1770000000</v>
      </c>
      <c r="E4" s="6">
        <f t="shared" si="1"/>
        <v>321818181.81818181</v>
      </c>
      <c r="F4" s="6">
        <f t="shared" si="2"/>
        <v>127995867.76859504</v>
      </c>
      <c r="G4" s="6">
        <f t="shared" si="3"/>
        <v>62169421.487603307</v>
      </c>
      <c r="H4" s="6">
        <f t="shared" si="4"/>
        <v>10971074.380165288</v>
      </c>
      <c r="I4" s="6">
        <f t="shared" si="5"/>
        <v>341931818.18181819</v>
      </c>
    </row>
    <row r="5" spans="1:9" x14ac:dyDescent="0.2">
      <c r="A5" s="3" t="s">
        <v>40</v>
      </c>
      <c r="B5" s="3"/>
      <c r="C5" s="5">
        <f>98*10^9</f>
        <v>98000000000</v>
      </c>
      <c r="D5" s="7">
        <f t="shared" si="0"/>
        <v>1470000000</v>
      </c>
      <c r="E5" s="6">
        <f t="shared" si="1"/>
        <v>267272727.27272728</v>
      </c>
      <c r="F5" s="6">
        <f t="shared" si="2"/>
        <v>106301652.89256199</v>
      </c>
      <c r="G5" s="6">
        <f t="shared" si="3"/>
        <v>51632231.40495868</v>
      </c>
      <c r="H5" s="6">
        <f t="shared" si="4"/>
        <v>9111570.[redacted]</v>
      </c>
      <c r="I5" s="6">
        <f t="shared" si="5"/>
        <v>283977272.72727275</v>
      </c>
    </row>
    <row r="6" spans="1:9" x14ac:dyDescent="0.2">
      <c r="A6" s="3" t="s">
        <v>41</v>
      </c>
      <c r="B6" s="3"/>
      <c r="C6" s="5">
        <f>95*10^9</f>
        <v>95000000000</v>
      </c>
      <c r="D6" s="7">
        <f>C6*$B$15</f>
        <v>1425000000</v>
      </c>
      <c r="E6" s="6">
        <f>D6*$C$18</f>
        <v>259090909.09090909</v>
      </c>
      <c r="F6" s="6">
        <f>E6*$C$19</f>
        <v>103047520.66115703</v>
      </c>
      <c r="G6" s="6">
        <f>E6*$C$20</f>
        <v>50051652.89256198</v>
      </c>
      <c r="H6" s="6">
        <f>E6*$C$21</f>
        <v>8832644.[redacted]</v>
      </c>
      <c r="I6" s="6">
        <f>D6*$C$22</f>
        <v>275284090.90909088</v>
      </c>
    </row>
    <row r="7" spans="1:9" x14ac:dyDescent="0.2">
      <c r="A7" s="3" t="s">
        <v>42</v>
      </c>
      <c r="B7" s="3"/>
      <c r="C7" s="5">
        <f>94*10^9</f>
        <v>94000000000</v>
      </c>
      <c r="D7" s="7">
        <f t="shared" ref="D7:D11" si="6">C7*$B$15</f>
        <v>1410000000</v>
      </c>
      <c r="E7" s="6">
        <f>D7*$C$18</f>
        <v>256363636.36363637</v>
      </c>
      <c r="F7" s="6">
        <f>E7*$C$19</f>
        <v>101962809.91735537</v>
      </c>
      <c r="G7" s="6">
        <f>E7*$C$20</f>
        <v>49524793.388429753</v>
      </c>
      <c r="H7" s="6">
        <f>E7*$C$21</f>
        <v>8739669.[redacted]</v>
      </c>
      <c r="I7" s="6">
        <f>D7*$C$22</f>
        <v>272386363.63636363</v>
      </c>
    </row>
    <row r="8" spans="1:9" x14ac:dyDescent="0.2">
      <c r="A8" s="3" t="s">
        <v>43</v>
      </c>
      <c r="B8" s="3"/>
      <c r="C8" s="5">
        <f>83*10^9</f>
        <v>83000000000</v>
      </c>
      <c r="D8" s="7">
        <f t="shared" si="6"/>
        <v>1245000000</v>
      </c>
      <c r="E8" s="6">
        <f t="shared" ref="E8:E11" si="7">D8*$C$18</f>
        <v>226363636.36363637</v>
      </c>
      <c r="F8" s="6">
        <f t="shared" ref="F8:F11" si="8">E8*$C$19</f>
        <v>90030991.735537186</v>
      </c>
      <c r="G8" s="6">
        <f t="shared" ref="G8:G11" si="9">E8*$C$20</f>
        <v>43729338.842975207</v>
      </c>
      <c r="H8" s="6">
        <f t="shared" ref="H8:H11" si="10">E8*$C$21</f>
        <v>7716942.1487603299</v>
      </c>
      <c r="I8" s="6">
        <f t="shared" ref="I8:I11" si="11">D8*$C$22</f>
        <v>240511363.63636363</v>
      </c>
    </row>
    <row r="9" spans="1:9" x14ac:dyDescent="0.2">
      <c r="A9" s="3" t="s">
        <v>44</v>
      </c>
      <c r="B9" s="3"/>
      <c r="C9" s="5">
        <f>77*10^9</f>
        <v>77000000000</v>
      </c>
      <c r="D9" s="7">
        <f t="shared" si="6"/>
        <v>1155000000</v>
      </c>
      <c r="E9" s="6">
        <f t="shared" si="7"/>
        <v>210000000</v>
      </c>
      <c r="F9" s="6">
        <f t="shared" si="8"/>
        <v>83522727.272727266</v>
      </c>
      <c r="G9" s="6">
        <f t="shared" si="9"/>
        <v>40568181.81818182</v>
      </c>
      <c r="H9" s="6">
        <f t="shared" si="10"/>
        <v>7159090.[redacted]</v>
      </c>
      <c r="I9" s="6">
        <f t="shared" si="11"/>
        <v>223125000</v>
      </c>
    </row>
    <row r="10" spans="1:9" x14ac:dyDescent="0.2">
      <c r="A10" s="3" t="s">
        <v>45</v>
      </c>
      <c r="B10" s="3"/>
      <c r="C10" s="5">
        <f>64*10^9</f>
        <v>64000000000</v>
      </c>
      <c r="D10" s="7">
        <f t="shared" si="6"/>
        <v>960000000</v>
      </c>
      <c r="E10" s="6">
        <f t="shared" si="7"/>
        <v>174545454.54545456</v>
      </c>
      <c r="F10" s="6">
        <f t="shared" si="8"/>
        <v>69421487.603305787</v>
      </c>
      <c r="G10" s="6">
        <f t="shared" si="9"/>
        <v>33719008.264462814</v>
      </c>
      <c r="H10" s="6">
        <f t="shared" si="10"/>
        <v>5950413.[redacted]</v>
      </c>
      <c r="I10" s="6">
        <f t="shared" si="11"/>
        <v>185454545.45454544</v>
      </c>
    </row>
    <row r="11" spans="1:9" x14ac:dyDescent="0.2">
      <c r="A11" s="3" t="s">
        <v>46</v>
      </c>
      <c r="B11" s="3"/>
      <c r="C11" s="5">
        <f>58*10^9</f>
        <v>58000000000</v>
      </c>
      <c r="D11" s="7">
        <f t="shared" si="6"/>
        <v>870000000</v>
      </c>
      <c r="E11" s="6">
        <f t="shared" si="7"/>
        <v>158181818.18181819</v>
      </c>
      <c r="F11" s="6">
        <f t="shared" si="8"/>
        <v>62913223.140495867</v>
      </c>
      <c r="G11" s="6">
        <f t="shared" si="9"/>
        <v>30557851.239669424</v>
      </c>
      <c r="H11" s="6">
        <f t="shared" si="10"/>
        <v>5392561.[redacted]</v>
      </c>
      <c r="I11" s="6">
        <f t="shared" si="11"/>
        <v>168068181.81818181</v>
      </c>
    </row>
    <row r="12" spans="1:9" x14ac:dyDescent="0.2">
      <c r="C12" s="4">
        <f>SUM(C2:C7)</f>
        <v>674000000000</v>
      </c>
      <c r="F12" s="4">
        <f>SUM(F2:F7)</f>
        <v>731095041.32231414</v>
      </c>
      <c r="G12" s="4">
        <f>SUM(G2:G7)</f>
        <v>355103305.78512394</v>
      </c>
      <c r="H12" s="4">
        <f>SUM(H2:H7)</f>
        <v>62665289.256198347</v>
      </c>
      <c r="I12" s="4">
        <f>SUM(I2:I7)</f>
        <v>1953068181.8181815</v>
      </c>
    </row>
    <row r="15" spans="1:9" x14ac:dyDescent="0.2">
      <c r="A15" s="2" t="s">
        <v>22</v>
      </c>
      <c r="B15" s="8">
        <v>1.4999999999999999E-2</v>
      </c>
    </row>
    <row r="16" spans="1:9" x14ac:dyDescent="0.2">
      <c r="F16" t="s">
        <v>28</v>
      </c>
      <c r="G16" s="4">
        <f>G12</f>
        <v>355103305.78512394</v>
      </c>
    </row>
    <row r="17" spans="1:7" x14ac:dyDescent="0.2">
      <c r="A17" s="2" t="s">
        <v>14</v>
      </c>
      <c r="B17" s="11" t="s">
        <v>21</v>
      </c>
      <c r="C17" s="11" t="s">
        <v>20</v>
      </c>
      <c r="F17" t="s">
        <v>29</v>
      </c>
      <c r="G17" s="4">
        <f>I12</f>
        <v>1953068181.8181815</v>
      </c>
    </row>
    <row r="18" spans="1:7" x14ac:dyDescent="0.2">
      <c r="A18" s="2" t="s">
        <v>15</v>
      </c>
      <c r="B18" s="11">
        <v>16</v>
      </c>
      <c r="C18" s="13">
        <f>B18/$B$23</f>
        <v>0.18181818181818182</v>
      </c>
      <c r="G18" s="4">
        <f>SUM(G16:G17)</f>
        <v>[redacted].6033053</v>
      </c>
    </row>
    <row r="19" spans="1:7" x14ac:dyDescent="0.2">
      <c r="A19" s="2" t="s">
        <v>16</v>
      </c>
      <c r="B19" s="11">
        <v>35</v>
      </c>
      <c r="C19" s="13">
        <f t="shared" ref="C19:C22" si="12">B19/$B$23</f>
        <v>0.39772727272727271</v>
      </c>
      <c r="G19" s="4">
        <f>G18*0.2</f>
        <v>461634297.52066112</v>
      </c>
    </row>
    <row r="20" spans="1:7" x14ac:dyDescent="0.2">
      <c r="A20" s="2" t="s">
        <v>17</v>
      </c>
      <c r="B20" s="11">
        <v>17</v>
      </c>
      <c r="C20" s="13">
        <f t="shared" si="12"/>
        <v>0.19318181818181818</v>
      </c>
    </row>
    <row r="21" spans="1:7" x14ac:dyDescent="0.2">
      <c r="A21" s="2" t="s">
        <v>18</v>
      </c>
      <c r="B21" s="11">
        <v>3</v>
      </c>
      <c r="C21" s="13">
        <f t="shared" si="12"/>
        <v>3.4090909090909088E-2</v>
      </c>
    </row>
    <row r="22" spans="1:7" x14ac:dyDescent="0.2">
      <c r="A22" s="2" t="s">
        <v>19</v>
      </c>
      <c r="B22" s="11">
        <v>17</v>
      </c>
      <c r="C22" s="13">
        <f t="shared" si="12"/>
        <v>0.19318181818181818</v>
      </c>
    </row>
    <row r="23" spans="1:7" x14ac:dyDescent="0.2">
      <c r="B23" s="14">
        <f>SUM(B18:B22)</f>
        <v>88</v>
      </c>
      <c r="C23" s="14">
        <f>SUM(C18:C22)</f>
        <v>1</v>
      </c>
    </row>
    <row r="25" spans="1:7" x14ac:dyDescent="0.2">
      <c r="F25" t="s">
        <v>47</v>
      </c>
      <c r="G25" s="4">
        <f>G18+Europe!G18+Asia!G18</f>
        <v>[redacted].4214869</v>
      </c>
    </row>
    <row r="26" spans="1:7" x14ac:dyDescent="0.2">
      <c r="F26" t="s">
        <v>48</v>
      </c>
      <c r="G26" s="4">
        <f>G25*0.2</f>
        <v>928747933.88429737</v>
      </c>
    </row>
    <row r="28" spans="1:7" ht="1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Asia</vt:lpstr>
      <vt:lpstr>Europe</vt:lpstr>
      <vt:lpstr>North America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2022-03-14T05:38:39Z</ns1:created>
  <ns1:modified xsi:type="dcterms:W3CDTF">2022-03-22T04:44:10Z</ns1:modified>
</ns0:coreProperties>
</file>